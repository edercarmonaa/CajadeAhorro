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35" windowWidth="21315" windowHeight="9780"/>
  </bookViews>
  <sheets>
    <sheet name="CONCENTR-SEM" sheetId="1" r:id="rId1"/>
  </sheets>
  <calcPr calcId="125725"/>
</workbook>
</file>

<file path=xl/calcChain.xml><?xml version="1.0" encoding="utf-8"?>
<calcChain xmlns="http://schemas.openxmlformats.org/spreadsheetml/2006/main">
  <c r="F4" i="1"/>
  <c r="E4"/>
  <c r="D3"/>
  <c r="F3" l="1"/>
  <c r="M4" l="1"/>
  <c r="J4"/>
  <c r="H4"/>
  <c r="I4"/>
  <c r="N3" l="1"/>
  <c r="N4" s="1"/>
  <c r="L4"/>
  <c r="K4"/>
  <c r="O3"/>
  <c r="P3"/>
  <c r="O4" l="1"/>
  <c r="P4"/>
</calcChain>
</file>

<file path=xl/sharedStrings.xml><?xml version="1.0" encoding="utf-8"?>
<sst xmlns="http://schemas.openxmlformats.org/spreadsheetml/2006/main" count="28" uniqueCount="15">
  <si>
    <t>SEMANA</t>
  </si>
  <si>
    <t>NOMBRE DEL TRABAJADOR</t>
  </si>
  <si>
    <t xml:space="preserve">VALOR DE </t>
  </si>
  <si>
    <t>AHORRO</t>
  </si>
  <si>
    <t>ABONO</t>
  </si>
  <si>
    <t>PRÉSTAMOS</t>
  </si>
  <si>
    <t>INTERÉS</t>
  </si>
  <si>
    <t>RECIBOS</t>
  </si>
  <si>
    <t>SALDO</t>
  </si>
  <si>
    <t>SALDO A</t>
  </si>
  <si>
    <t>No. DE EMPLEADO</t>
  </si>
  <si>
    <t>ACCIÓN</t>
  </si>
  <si>
    <t>CARGO</t>
  </si>
  <si>
    <t>FAVOR</t>
  </si>
  <si>
    <t>TOTALES</t>
  </si>
</sst>
</file>

<file path=xl/styles.xml><?xml version="1.0" encoding="utf-8"?>
<styleSheet xmlns="http://schemas.openxmlformats.org/spreadsheetml/2006/main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[$-F400]h:mm:ss\ AM/PM"/>
  </numFmts>
  <fonts count="11">
    <font>
      <sz val="10"/>
      <name val="Arial"/>
    </font>
    <font>
      <sz val="11"/>
      <color theme="1"/>
      <name val="Calibri"/>
      <family val="2"/>
      <scheme val="minor"/>
    </font>
    <font>
      <sz val="8"/>
      <color indexed="9"/>
      <name val="Arial"/>
      <family val="2"/>
    </font>
    <font>
      <b/>
      <sz val="8"/>
      <color indexed="13"/>
      <name val="Arial"/>
      <family val="2"/>
    </font>
    <font>
      <b/>
      <sz val="11"/>
      <color indexed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indexed="9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8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9" fillId="0" borderId="0" applyFont="0" applyFill="0" applyBorder="0" applyAlignment="0" applyProtection="0"/>
    <xf numFmtId="0" fontId="9" fillId="0" borderId="0"/>
    <xf numFmtId="164" fontId="9" fillId="0" borderId="0"/>
    <xf numFmtId="164" fontId="9" fillId="0" borderId="0"/>
    <xf numFmtId="164" fontId="1" fillId="0" borderId="0"/>
  </cellStyleXfs>
  <cellXfs count="64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3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44" fontId="5" fillId="5" borderId="3" xfId="0" applyNumberFormat="1" applyFont="1" applyFill="1" applyBorder="1" applyAlignment="1">
      <alignment horizontal="center"/>
    </xf>
    <xf numFmtId="44" fontId="5" fillId="8" borderId="3" xfId="0" applyNumberFormat="1" applyFont="1" applyFill="1" applyBorder="1" applyAlignment="1">
      <alignment horizontal="center"/>
    </xf>
    <xf numFmtId="44" fontId="5" fillId="9" borderId="4" xfId="0" applyNumberFormat="1" applyFont="1" applyFill="1" applyBorder="1" applyAlignment="1">
      <alignment horizontal="center"/>
    </xf>
    <xf numFmtId="0" fontId="6" fillId="2" borderId="0" xfId="0" applyFont="1" applyFill="1"/>
    <xf numFmtId="0" fontId="6" fillId="0" borderId="0" xfId="0" applyFont="1"/>
    <xf numFmtId="44" fontId="5" fillId="5" borderId="7" xfId="0" applyNumberFormat="1" applyFont="1" applyFill="1" applyBorder="1" applyAlignment="1">
      <alignment horizontal="center"/>
    </xf>
    <xf numFmtId="44" fontId="5" fillId="8" borderId="7" xfId="0" applyNumberFormat="1" applyFont="1" applyFill="1" applyBorder="1" applyAlignment="1">
      <alignment horizontal="center"/>
    </xf>
    <xf numFmtId="44" fontId="5" fillId="9" borderId="8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43" fontId="6" fillId="0" borderId="0" xfId="0" applyNumberFormat="1" applyFont="1"/>
    <xf numFmtId="44" fontId="6" fillId="0" borderId="0" xfId="0" applyNumberFormat="1" applyFont="1"/>
    <xf numFmtId="43" fontId="5" fillId="5" borderId="12" xfId="0" applyNumberFormat="1" applyFont="1" applyFill="1" applyBorder="1"/>
    <xf numFmtId="44" fontId="5" fillId="5" borderId="12" xfId="0" applyNumberFormat="1" applyFont="1" applyFill="1" applyBorder="1"/>
    <xf numFmtId="44" fontId="5" fillId="4" borderId="12" xfId="0" applyNumberFormat="1" applyFont="1" applyFill="1" applyBorder="1"/>
    <xf numFmtId="44" fontId="5" fillId="7" borderId="12" xfId="0" applyNumberFormat="1" applyFont="1" applyFill="1" applyBorder="1"/>
    <xf numFmtId="44" fontId="5" fillId="0" borderId="12" xfId="0" applyNumberFormat="1" applyFont="1" applyBorder="1"/>
    <xf numFmtId="44" fontId="5" fillId="8" borderId="12" xfId="0" applyNumberFormat="1" applyFont="1" applyFill="1" applyBorder="1"/>
    <xf numFmtId="44" fontId="5" fillId="9" borderId="12" xfId="0" applyNumberFormat="1" applyFont="1" applyFill="1" applyBorder="1"/>
    <xf numFmtId="44" fontId="5" fillId="5" borderId="15" xfId="0" applyNumberFormat="1" applyFont="1" applyFill="1" applyBorder="1" applyAlignment="1">
      <alignment horizontal="center"/>
    </xf>
    <xf numFmtId="44" fontId="5" fillId="8" borderId="15" xfId="0" applyNumberFormat="1" applyFont="1" applyFill="1" applyBorder="1" applyAlignment="1">
      <alignment horizontal="center"/>
    </xf>
    <xf numFmtId="44" fontId="5" fillId="9" borderId="14" xfId="0" applyNumberFormat="1" applyFont="1" applyFill="1" applyBorder="1" applyAlignment="1">
      <alignment horizontal="center"/>
    </xf>
    <xf numFmtId="44" fontId="5" fillId="5" borderId="20" xfId="0" applyNumberFormat="1" applyFont="1" applyFill="1" applyBorder="1" applyAlignment="1">
      <alignment horizontal="center"/>
    </xf>
    <xf numFmtId="44" fontId="5" fillId="8" borderId="20" xfId="0" applyNumberFormat="1" applyFont="1" applyFill="1" applyBorder="1" applyAlignment="1">
      <alignment horizontal="center"/>
    </xf>
    <xf numFmtId="44" fontId="5" fillId="9" borderId="19" xfId="0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44" fontId="6" fillId="2" borderId="0" xfId="0" applyNumberFormat="1" applyFont="1" applyFill="1"/>
    <xf numFmtId="0" fontId="10" fillId="0" borderId="0" xfId="0" applyFont="1" applyFill="1" applyBorder="1"/>
    <xf numFmtId="0" fontId="10" fillId="0" borderId="0" xfId="0" applyFont="1"/>
    <xf numFmtId="44" fontId="5" fillId="7" borderId="3" xfId="0" applyNumberFormat="1" applyFont="1" applyFill="1" applyBorder="1" applyAlignment="1">
      <alignment horizontal="center" vertical="center"/>
    </xf>
    <xf numFmtId="44" fontId="5" fillId="7" borderId="7" xfId="0" applyNumberFormat="1" applyFont="1" applyFill="1" applyBorder="1" applyAlignment="1">
      <alignment horizontal="center" vertical="center"/>
    </xf>
    <xf numFmtId="44" fontId="5" fillId="0" borderId="16" xfId="0" applyNumberFormat="1" applyFont="1" applyFill="1" applyBorder="1" applyAlignment="1">
      <alignment horizontal="center" vertical="center"/>
    </xf>
    <xf numFmtId="44" fontId="5" fillId="0" borderId="20" xfId="0" applyNumberFormat="1" applyFont="1" applyFill="1" applyBorder="1" applyAlignment="1">
      <alignment horizontal="center" vertical="center"/>
    </xf>
    <xf numFmtId="44" fontId="5" fillId="0" borderId="3" xfId="0" applyNumberFormat="1" applyFont="1" applyFill="1" applyBorder="1" applyAlignment="1">
      <alignment horizontal="center" vertical="center"/>
    </xf>
    <xf numFmtId="44" fontId="5" fillId="0" borderId="7" xfId="0" applyNumberFormat="1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/>
    </xf>
    <xf numFmtId="0" fontId="5" fillId="10" borderId="6" xfId="0" applyFont="1" applyFill="1" applyBorder="1" applyAlignment="1">
      <alignment horizontal="center"/>
    </xf>
    <xf numFmtId="0" fontId="5" fillId="0" borderId="9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44" fontId="5" fillId="5" borderId="16" xfId="0" applyNumberFormat="1" applyFont="1" applyFill="1" applyBorder="1" applyAlignment="1">
      <alignment horizontal="center" vertical="center"/>
    </xf>
    <xf numFmtId="44" fontId="5" fillId="5" borderId="20" xfId="0" applyNumberFormat="1" applyFont="1" applyFill="1" applyBorder="1" applyAlignment="1">
      <alignment horizontal="center" vertical="center"/>
    </xf>
    <xf numFmtId="44" fontId="5" fillId="4" borderId="16" xfId="0" applyNumberFormat="1" applyFont="1" applyFill="1" applyBorder="1" applyAlignment="1">
      <alignment horizontal="center" vertical="center"/>
    </xf>
    <xf numFmtId="44" fontId="5" fillId="4" borderId="20" xfId="0" applyNumberFormat="1" applyFont="1" applyFill="1" applyBorder="1" applyAlignment="1">
      <alignment horizontal="center" vertical="center"/>
    </xf>
    <xf numFmtId="44" fontId="5" fillId="7" borderId="16" xfId="0" applyNumberFormat="1" applyFont="1" applyFill="1" applyBorder="1" applyAlignment="1">
      <alignment horizontal="center" vertical="center"/>
    </xf>
    <xf numFmtId="44" fontId="5" fillId="7" borderId="20" xfId="0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44" fontId="5" fillId="5" borderId="3" xfId="0" applyNumberFormat="1" applyFont="1" applyFill="1" applyBorder="1" applyAlignment="1">
      <alignment horizontal="center" vertical="center"/>
    </xf>
    <xf numFmtId="44" fontId="5" fillId="5" borderId="7" xfId="0" applyNumberFormat="1" applyFont="1" applyFill="1" applyBorder="1" applyAlignment="1">
      <alignment horizontal="center" vertical="center"/>
    </xf>
    <xf numFmtId="44" fontId="5" fillId="6" borderId="3" xfId="0" applyNumberFormat="1" applyFont="1" applyFill="1" applyBorder="1" applyAlignment="1">
      <alignment horizontal="center" vertical="center"/>
    </xf>
    <xf numFmtId="44" fontId="5" fillId="6" borderId="7" xfId="0" applyNumberFormat="1" applyFont="1" applyFill="1" applyBorder="1" applyAlignment="1">
      <alignment horizontal="center" vertical="center"/>
    </xf>
    <xf numFmtId="49" fontId="5" fillId="0" borderId="0" xfId="0" applyNumberFormat="1" applyFont="1" applyAlignment="1">
      <alignment horizontal="center"/>
    </xf>
  </cellXfs>
  <cellStyles count="6">
    <cellStyle name="Millares 2" xfId="1"/>
    <cellStyle name="Normal" xfId="0" builtinId="0"/>
    <cellStyle name="Normal 2" xfId="2"/>
    <cellStyle name="Normal 2 2" xfId="3"/>
    <cellStyle name="Normal 3" xfId="4"/>
    <cellStyle name="Normal 4" xfId="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57"/>
  </sheetPr>
  <dimension ref="A1:T7"/>
  <sheetViews>
    <sheetView tabSelected="1" topLeftCell="D1" zoomScale="90" zoomScaleNormal="90" workbookViewId="0">
      <pane ySplit="2" topLeftCell="A3" activePane="bottomLeft" state="frozen"/>
      <selection activeCell="D1" sqref="D1"/>
      <selection pane="bottomLeft" activeCell="E3" sqref="E3"/>
    </sheetView>
  </sheetViews>
  <sheetFormatPr baseColWidth="10" defaultRowHeight="11.25"/>
  <cols>
    <col min="1" max="1" width="0.140625" style="9" hidden="1" customWidth="1"/>
    <col min="2" max="3" width="11.42578125" style="9" hidden="1" customWidth="1"/>
    <col min="4" max="4" width="0.7109375" style="8" customWidth="1"/>
    <col min="5" max="5" width="9.140625" style="13" bestFit="1" customWidth="1"/>
    <col min="6" max="6" width="4.140625" style="13" customWidth="1"/>
    <col min="7" max="7" width="45.85546875" style="9" customWidth="1"/>
    <col min="8" max="16" width="12.7109375" style="16" customWidth="1"/>
    <col min="17" max="20" width="11.42578125" style="33"/>
    <col min="21" max="16384" width="11.42578125" style="9"/>
  </cols>
  <sheetData>
    <row r="1" spans="1:17" ht="15">
      <c r="A1" s="1"/>
      <c r="B1" s="1"/>
      <c r="C1" s="1"/>
      <c r="D1" s="2"/>
      <c r="E1" s="3" t="s">
        <v>0</v>
      </c>
      <c r="F1" s="4">
        <v>5</v>
      </c>
      <c r="G1" s="57" t="s">
        <v>1</v>
      </c>
      <c r="H1" s="5" t="s">
        <v>2</v>
      </c>
      <c r="I1" s="59" t="s">
        <v>3</v>
      </c>
      <c r="J1" s="59" t="s">
        <v>4</v>
      </c>
      <c r="K1" s="61" t="s">
        <v>5</v>
      </c>
      <c r="L1" s="34" t="s">
        <v>6</v>
      </c>
      <c r="M1" s="34" t="s">
        <v>7</v>
      </c>
      <c r="N1" s="38" t="s">
        <v>8</v>
      </c>
      <c r="O1" s="6" t="s">
        <v>9</v>
      </c>
      <c r="P1" s="7" t="s">
        <v>9</v>
      </c>
      <c r="Q1" s="32"/>
    </row>
    <row r="2" spans="1:17" ht="13.5" customHeight="1" thickBot="1">
      <c r="A2" s="1"/>
      <c r="B2" s="1"/>
      <c r="C2" s="1"/>
      <c r="D2" s="2"/>
      <c r="E2" s="40" t="s">
        <v>10</v>
      </c>
      <c r="F2" s="41"/>
      <c r="G2" s="58"/>
      <c r="H2" s="10" t="s">
        <v>11</v>
      </c>
      <c r="I2" s="60"/>
      <c r="J2" s="60"/>
      <c r="K2" s="62"/>
      <c r="L2" s="35"/>
      <c r="M2" s="35"/>
      <c r="N2" s="39"/>
      <c r="O2" s="11" t="s">
        <v>12</v>
      </c>
      <c r="P2" s="12" t="s">
        <v>13</v>
      </c>
      <c r="Q2" s="32"/>
    </row>
    <row r="3" spans="1:17">
      <c r="A3" s="1"/>
      <c r="B3" s="1"/>
      <c r="C3" s="1"/>
      <c r="D3" s="2">
        <f>F1</f>
        <v>5</v>
      </c>
      <c r="E3" s="63"/>
      <c r="F3" s="14">
        <f>(D3*7*7*7*7+E3)</f>
        <v>12005</v>
      </c>
      <c r="H3" s="15"/>
      <c r="I3" s="15"/>
      <c r="J3" s="15"/>
      <c r="K3" s="15"/>
      <c r="L3" s="15"/>
      <c r="M3" s="15"/>
      <c r="N3" s="16">
        <f>I3+J3-K3-L3-M3</f>
        <v>0</v>
      </c>
      <c r="O3" s="16">
        <f t="shared" ref="O3" si="0">IF(N3&lt;0,N3,0)</f>
        <v>0</v>
      </c>
      <c r="P3" s="16">
        <f t="shared" ref="P3" si="1">IF(N3&gt;=0,N3,0)</f>
        <v>0</v>
      </c>
      <c r="Q3" s="32"/>
    </row>
    <row r="4" spans="1:17" ht="12.75" customHeight="1">
      <c r="E4" s="42" t="str">
        <f>E1</f>
        <v>SEMANA</v>
      </c>
      <c r="F4" s="45">
        <f>F1</f>
        <v>5</v>
      </c>
      <c r="G4" s="48" t="s">
        <v>14</v>
      </c>
      <c r="H4" s="17">
        <f t="shared" ref="H4:P4" si="2">SUM(H3:H3)</f>
        <v>0</v>
      </c>
      <c r="I4" s="18">
        <f t="shared" si="2"/>
        <v>0</v>
      </c>
      <c r="J4" s="18">
        <f t="shared" si="2"/>
        <v>0</v>
      </c>
      <c r="K4" s="19">
        <f t="shared" si="2"/>
        <v>0</v>
      </c>
      <c r="L4" s="20">
        <f t="shared" si="2"/>
        <v>0</v>
      </c>
      <c r="M4" s="20">
        <f t="shared" si="2"/>
        <v>0</v>
      </c>
      <c r="N4" s="21">
        <f t="shared" si="2"/>
        <v>0</v>
      </c>
      <c r="O4" s="22">
        <f t="shared" si="2"/>
        <v>0</v>
      </c>
      <c r="P4" s="23">
        <f t="shared" si="2"/>
        <v>0</v>
      </c>
      <c r="Q4" s="32"/>
    </row>
    <row r="5" spans="1:17" ht="12.75" customHeight="1">
      <c r="E5" s="43"/>
      <c r="F5" s="46"/>
      <c r="G5" s="49"/>
      <c r="H5" s="24" t="s">
        <v>2</v>
      </c>
      <c r="I5" s="51" t="s">
        <v>3</v>
      </c>
      <c r="J5" s="51" t="s">
        <v>4</v>
      </c>
      <c r="K5" s="53" t="s">
        <v>5</v>
      </c>
      <c r="L5" s="55" t="s">
        <v>6</v>
      </c>
      <c r="M5" s="55" t="s">
        <v>7</v>
      </c>
      <c r="N5" s="36" t="s">
        <v>8</v>
      </c>
      <c r="O5" s="25" t="s">
        <v>9</v>
      </c>
      <c r="P5" s="26" t="s">
        <v>9</v>
      </c>
      <c r="Q5" s="32"/>
    </row>
    <row r="6" spans="1:17">
      <c r="E6" s="44"/>
      <c r="F6" s="47"/>
      <c r="G6" s="50"/>
      <c r="H6" s="27" t="s">
        <v>11</v>
      </c>
      <c r="I6" s="52"/>
      <c r="J6" s="52"/>
      <c r="K6" s="54"/>
      <c r="L6" s="56"/>
      <c r="M6" s="56"/>
      <c r="N6" s="37"/>
      <c r="O6" s="28" t="s">
        <v>12</v>
      </c>
      <c r="P6" s="29" t="s">
        <v>13</v>
      </c>
      <c r="Q6" s="32"/>
    </row>
    <row r="7" spans="1:17">
      <c r="A7" s="8"/>
      <c r="B7" s="8"/>
      <c r="C7" s="8"/>
      <c r="E7" s="30"/>
      <c r="F7" s="30"/>
      <c r="G7" s="8"/>
      <c r="H7" s="31"/>
      <c r="I7" s="31"/>
      <c r="J7" s="31"/>
      <c r="K7" s="31"/>
      <c r="L7" s="31"/>
      <c r="M7" s="31"/>
      <c r="N7" s="31"/>
      <c r="O7" s="31"/>
      <c r="P7" s="31"/>
    </row>
  </sheetData>
  <protectedRanges>
    <protectedRange password="CFFB" sqref="E3" name="Rango1_1_1"/>
  </protectedRanges>
  <mergeCells count="17">
    <mergeCell ref="K1:K2"/>
    <mergeCell ref="L1:L2"/>
    <mergeCell ref="M1:M2"/>
    <mergeCell ref="N5:N6"/>
    <mergeCell ref="N1:N2"/>
    <mergeCell ref="E2:F2"/>
    <mergeCell ref="E4:E6"/>
    <mergeCell ref="F4:F6"/>
    <mergeCell ref="G4:G6"/>
    <mergeCell ref="I5:I6"/>
    <mergeCell ref="J5:J6"/>
    <mergeCell ref="K5:K6"/>
    <mergeCell ref="L5:L6"/>
    <mergeCell ref="M5:M6"/>
    <mergeCell ref="G1:G2"/>
    <mergeCell ref="I1:I2"/>
    <mergeCell ref="J1:J2"/>
  </mergeCells>
  <printOptions horizontalCentered="1"/>
  <pageMargins left="0.59055118110236227" right="0" top="0.39370078740157483" bottom="0.39370078740157483" header="0" footer="0"/>
  <pageSetup paperSize="5" scale="95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CONCENTR-SEM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Eder</dc:creator>
  <cp:lastModifiedBy>Eder</cp:lastModifiedBy>
  <cp:lastPrinted>2016-11-21T07:32:51Z</cp:lastPrinted>
  <dcterms:created xsi:type="dcterms:W3CDTF">2016-11-21T07:15:14Z</dcterms:created>
  <dcterms:modified xsi:type="dcterms:W3CDTF">2016-11-21T09:13:42Z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5fd409ba-cbfc-4198-babf-89281a398b23</vt:lpwstr>
  </property>
</Properties>
</file>