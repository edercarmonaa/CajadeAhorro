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xampp\htdocs\ahorro\templates\"/>
    </mc:Choice>
  </mc:AlternateContent>
  <bookViews>
    <workbookView xWindow="0" yWindow="0" windowWidth="20490" windowHeight="7755" activeTab="1"/>
  </bookViews>
  <sheets>
    <sheet name="Hoja1" sheetId="1" r:id="rId1"/>
    <sheet name="Hoja 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7" i="2" l="1"/>
  <c r="I34" i="2"/>
  <c r="I31" i="2"/>
  <c r="I28" i="2"/>
  <c r="I21" i="2"/>
  <c r="I18" i="2"/>
  <c r="I15" i="2"/>
  <c r="I7" i="2"/>
  <c r="B7" i="2"/>
  <c r="J5" i="2"/>
  <c r="G4" i="2"/>
  <c r="F5" i="2"/>
  <c r="B5" i="2"/>
  <c r="I40" i="2" l="1"/>
  <c r="I24" i="2"/>
  <c r="I44" i="2" s="1"/>
  <c r="I52" i="2" s="1"/>
  <c r="K63" i="1"/>
  <c r="F63" i="1"/>
  <c r="E63" i="1"/>
  <c r="D63" i="1"/>
  <c r="H9" i="1"/>
  <c r="H63" i="1" l="1"/>
  <c r="I63" i="1" l="1"/>
  <c r="J63" i="1"/>
</calcChain>
</file>

<file path=xl/sharedStrings.xml><?xml version="1.0" encoding="utf-8"?>
<sst xmlns="http://schemas.openxmlformats.org/spreadsheetml/2006/main" count="45" uniqueCount="33">
  <si>
    <t>SINDICATO ÚNICO DE TRABAJADORES DE LA INDUSTRIA LÁCTEA ALIMENTICIA,</t>
  </si>
  <si>
    <t>SIMILARES Y CONEXOS DE LA REPÚBLICA MEXICANA    SECCIÓN COATEPEC</t>
  </si>
  <si>
    <t>Tarjetas de Caja de Ahorro y Préstamos</t>
  </si>
  <si>
    <t>Ejercicio</t>
  </si>
  <si>
    <t>NÚMERO</t>
  </si>
  <si>
    <t xml:space="preserve">     CATEGORÍA    </t>
  </si>
  <si>
    <t xml:space="preserve"> VALOR DE ACCIÓN</t>
  </si>
  <si>
    <t>NOMBRE</t>
  </si>
  <si>
    <t>INTERÉS MENSUAL</t>
  </si>
  <si>
    <t>SEM</t>
  </si>
  <si>
    <t>FECHA</t>
  </si>
  <si>
    <t>AHORRO</t>
  </si>
  <si>
    <t xml:space="preserve">ABONO </t>
  </si>
  <si>
    <t>PRÉSTAMO</t>
  </si>
  <si>
    <t>MESES</t>
  </si>
  <si>
    <t>SALDO</t>
  </si>
  <si>
    <t>COSTO</t>
  </si>
  <si>
    <t>INTERÉS</t>
  </si>
  <si>
    <t>A CARGO</t>
  </si>
  <si>
    <t>A FAVOR</t>
  </si>
  <si>
    <t>RECIBOS</t>
  </si>
  <si>
    <t>FIRMA DE CONFORMIDAD</t>
  </si>
  <si>
    <t>VALOR DE LA ACCION</t>
  </si>
  <si>
    <t>ABONO</t>
  </si>
  <si>
    <t>TOTAL DE PAGOS</t>
  </si>
  <si>
    <t>PRESTAMO</t>
  </si>
  <si>
    <t>INTERESES COBRADO</t>
  </si>
  <si>
    <t>RECIBO</t>
  </si>
  <si>
    <t>COBRO VALOR DE ACCION</t>
  </si>
  <si>
    <t>TOTAL DE COBROS</t>
  </si>
  <si>
    <t>SALDO A FAVOR</t>
  </si>
  <si>
    <t>INETERSES A REPARTIR</t>
  </si>
  <si>
    <t>SALDO TOTAL A FAVOR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</si>
</sst>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&quot;$&quot;\ * #,##0.00_-;\-&quot;$&quot;\ * #,##0.00_-;_-&quot;$&quot;\ * &quot;-&quot;??_-;_-@_-"/>
    <numFmt numFmtId="165" formatCode="#,##0.0_ ;\-#,##0.0\ "/>
    <numFmt numFmtId="166" formatCode="[$-F400]h:mm:ss\ AM/PM"/>
  </numFmts>
  <fonts count="26">
    <font>
      <sz val="11"/>
      <color theme="1"/>
      <name val="Calibri"/>
      <family val="2"/>
      <scheme val="minor"/>
    </font>
    <font>
      <b/>
      <sz val="8"/>
      <name val="Book Antiqua"/>
      <family val="1"/>
    </font>
    <font>
      <sz val="8"/>
      <name val="Plump MT"/>
      <family val="2"/>
    </font>
    <font>
      <b/>
      <sz val="10"/>
      <name val="Book Antiqua"/>
      <family val="1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8"/>
      <name val="Arial"/>
      <family val="2"/>
    </font>
    <font>
      <b/>
      <sz val="10"/>
      <color indexed="10"/>
      <name val="Arial"/>
      <family val="2"/>
    </font>
    <font>
      <b/>
      <sz val="8"/>
      <color indexed="17"/>
      <name val="Arial"/>
      <family val="2"/>
    </font>
    <font>
      <b/>
      <sz val="8"/>
      <color indexed="12"/>
      <name val="Arial"/>
      <family val="2"/>
    </font>
    <font>
      <b/>
      <sz val="8"/>
      <color indexed="61"/>
      <name val="Arial"/>
      <family val="2"/>
    </font>
    <font>
      <b/>
      <sz val="8"/>
      <color indexed="10"/>
      <name val="Arial"/>
      <family val="2"/>
    </font>
    <font>
      <b/>
      <sz val="10"/>
      <color indexed="17"/>
      <name val="Arial"/>
      <family val="2"/>
    </font>
    <font>
      <sz val="8"/>
      <name val="Arial"/>
      <family val="2"/>
    </font>
    <font>
      <sz val="8"/>
      <color indexed="10"/>
      <name val="Arial"/>
      <family val="2"/>
    </font>
    <font>
      <sz val="8"/>
      <color indexed="17"/>
      <name val="Arial"/>
      <family val="2"/>
    </font>
    <font>
      <sz val="8"/>
      <color indexed="61"/>
      <name val="Arial"/>
      <family val="2"/>
    </font>
    <font>
      <sz val="10"/>
      <name val="Compacta Blk BT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10"/>
      <name val="Arial"/>
      <family val="2"/>
    </font>
    <font>
      <sz val="10"/>
      <color indexed="17"/>
      <name val="Arial"/>
      <family val="2"/>
    </font>
    <font>
      <sz val="10"/>
      <color indexed="61"/>
      <name val="Arial"/>
      <family val="2"/>
    </font>
    <font>
      <b/>
      <sz val="14"/>
      <name val="Arial"/>
      <family val="2"/>
    </font>
    <font>
      <b/>
      <sz val="14"/>
      <color indexed="10"/>
      <name val="Arial"/>
      <family val="2"/>
    </font>
    <font>
      <b/>
      <sz val="14"/>
      <color indexed="17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8" fillId="0" borderId="0" applyFont="0" applyFill="0" applyBorder="0" applyAlignment="0" applyProtection="0"/>
  </cellStyleXfs>
  <cellXfs count="90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164" fontId="2" fillId="2" borderId="3" xfId="0" applyNumberFormat="1" applyFont="1" applyFill="1" applyBorder="1" applyAlignment="1"/>
    <xf numFmtId="0" fontId="0" fillId="2" borderId="4" xfId="0" applyFill="1" applyBorder="1"/>
    <xf numFmtId="0" fontId="0" fillId="2" borderId="0" xfId="0" applyFill="1" applyBorder="1"/>
    <xf numFmtId="164" fontId="2" fillId="2" borderId="5" xfId="0" applyNumberFormat="1" applyFont="1" applyFill="1" applyBorder="1" applyAlignment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4" fillId="2" borderId="7" xfId="0" applyFont="1" applyFill="1" applyBorder="1" applyAlignment="1">
      <alignment horizontal="center"/>
    </xf>
    <xf numFmtId="0" fontId="0" fillId="2" borderId="8" xfId="0" applyFill="1" applyBorder="1"/>
    <xf numFmtId="0" fontId="0" fillId="2" borderId="0" xfId="0" applyFill="1" applyBorder="1" applyAlignment="1"/>
    <xf numFmtId="9" fontId="8" fillId="2" borderId="14" xfId="0" applyNumberFormat="1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9" fillId="2" borderId="13" xfId="0" applyFont="1" applyFill="1" applyBorder="1" applyAlignment="1">
      <alignment horizontal="center"/>
    </xf>
    <xf numFmtId="0" fontId="8" fillId="2" borderId="15" xfId="0" applyFont="1" applyFill="1" applyBorder="1" applyAlignment="1">
      <alignment horizontal="center"/>
    </xf>
    <xf numFmtId="0" fontId="8" fillId="2" borderId="10" xfId="0" applyFont="1" applyFill="1" applyBorder="1" applyAlignment="1">
      <alignment horizontal="center"/>
    </xf>
    <xf numFmtId="0" fontId="10" fillId="2" borderId="17" xfId="0" applyFont="1" applyFill="1" applyBorder="1" applyAlignment="1">
      <alignment horizontal="center"/>
    </xf>
    <xf numFmtId="0" fontId="9" fillId="2" borderId="17" xfId="0" applyFont="1" applyFill="1" applyBorder="1" applyAlignment="1">
      <alignment horizontal="center"/>
    </xf>
    <xf numFmtId="0" fontId="8" fillId="2" borderId="11" xfId="0" applyFont="1" applyFill="1" applyBorder="1" applyAlignment="1">
      <alignment horizontal="center"/>
    </xf>
    <xf numFmtId="0" fontId="12" fillId="0" borderId="4" xfId="0" applyFont="1" applyBorder="1" applyAlignment="1">
      <alignment horizontal="center"/>
    </xf>
    <xf numFmtId="14" fontId="13" fillId="0" borderId="0" xfId="0" applyNumberFormat="1" applyFont="1" applyBorder="1" applyAlignment="1">
      <alignment horizontal="center"/>
    </xf>
    <xf numFmtId="43" fontId="13" fillId="0" borderId="0" xfId="0" applyNumberFormat="1" applyFont="1" applyBorder="1" applyAlignment="1">
      <alignment horizontal="right"/>
    </xf>
    <xf numFmtId="43" fontId="13" fillId="0" borderId="0" xfId="0" applyNumberFormat="1" applyFont="1" applyBorder="1" applyAlignment="1">
      <alignment horizontal="center"/>
    </xf>
    <xf numFmtId="165" fontId="14" fillId="0" borderId="0" xfId="0" applyNumberFormat="1" applyFont="1" applyBorder="1" applyAlignment="1">
      <alignment horizontal="center"/>
    </xf>
    <xf numFmtId="43" fontId="15" fillId="0" borderId="0" xfId="0" applyNumberFormat="1" applyFont="1" applyBorder="1"/>
    <xf numFmtId="43" fontId="16" fillId="0" borderId="0" xfId="0" applyNumberFormat="1" applyFont="1" applyBorder="1" applyAlignment="1">
      <alignment horizontal="center"/>
    </xf>
    <xf numFmtId="43" fontId="13" fillId="0" borderId="5" xfId="0" applyNumberFormat="1" applyFont="1" applyBorder="1" applyAlignment="1">
      <alignment horizontal="center"/>
    </xf>
    <xf numFmtId="166" fontId="13" fillId="0" borderId="0" xfId="0" applyNumberFormat="1" applyFont="1" applyFill="1" applyBorder="1" applyAlignment="1">
      <alignment horizontal="center"/>
    </xf>
    <xf numFmtId="14" fontId="13" fillId="0" borderId="0" xfId="0" applyNumberFormat="1" applyFont="1" applyFill="1" applyBorder="1" applyAlignment="1">
      <alignment horizontal="center"/>
    </xf>
    <xf numFmtId="0" fontId="0" fillId="2" borderId="18" xfId="0" applyFill="1" applyBorder="1"/>
    <xf numFmtId="0" fontId="13" fillId="2" borderId="19" xfId="0" applyFont="1" applyFill="1" applyBorder="1" applyAlignment="1">
      <alignment horizontal="center"/>
    </xf>
    <xf numFmtId="43" fontId="6" fillId="5" borderId="19" xfId="0" applyNumberFormat="1" applyFont="1" applyFill="1" applyBorder="1"/>
    <xf numFmtId="43" fontId="11" fillId="5" borderId="19" xfId="0" applyNumberFormat="1" applyFont="1" applyFill="1" applyBorder="1"/>
    <xf numFmtId="43" fontId="8" fillId="5" borderId="19" xfId="0" applyNumberFormat="1" applyFont="1" applyFill="1" applyBorder="1"/>
    <xf numFmtId="43" fontId="10" fillId="5" borderId="19" xfId="0" applyNumberFormat="1" applyFont="1" applyFill="1" applyBorder="1"/>
    <xf numFmtId="43" fontId="6" fillId="5" borderId="20" xfId="0" applyNumberFormat="1" applyFont="1" applyFill="1" applyBorder="1"/>
    <xf numFmtId="43" fontId="0" fillId="2" borderId="0" xfId="0" applyNumberFormat="1" applyFill="1" applyBorder="1"/>
    <xf numFmtId="43" fontId="0" fillId="2" borderId="7" xfId="0" applyNumberFormat="1" applyFill="1" applyBorder="1"/>
    <xf numFmtId="0" fontId="4" fillId="3" borderId="7" xfId="0" applyFont="1" applyFill="1" applyBorder="1" applyAlignment="1">
      <alignment horizontal="center"/>
    </xf>
    <xf numFmtId="43" fontId="16" fillId="0" borderId="14" xfId="0" applyNumberFormat="1" applyFont="1" applyBorder="1" applyAlignment="1">
      <alignment horizontal="center"/>
    </xf>
    <xf numFmtId="165" fontId="20" fillId="0" borderId="0" xfId="0" applyNumberFormat="1" applyFont="1" applyBorder="1" applyAlignment="1">
      <alignment horizontal="center"/>
    </xf>
    <xf numFmtId="43" fontId="21" fillId="0" borderId="0" xfId="0" applyNumberFormat="1" applyFont="1" applyBorder="1"/>
    <xf numFmtId="43" fontId="19" fillId="0" borderId="0" xfId="0" applyNumberFormat="1" applyFont="1" applyBorder="1" applyAlignment="1">
      <alignment horizontal="right"/>
    </xf>
    <xf numFmtId="43" fontId="19" fillId="0" borderId="0" xfId="0" applyNumberFormat="1" applyFont="1" applyBorder="1" applyAlignment="1">
      <alignment horizontal="center"/>
    </xf>
    <xf numFmtId="43" fontId="22" fillId="0" borderId="0" xfId="0" applyNumberFormat="1" applyFont="1" applyBorder="1" applyAlignment="1">
      <alignment horizontal="center"/>
    </xf>
    <xf numFmtId="43" fontId="19" fillId="0" borderId="0" xfId="0" applyNumberFormat="1" applyFont="1" applyBorder="1" applyAlignment="1">
      <alignment horizontal="left"/>
    </xf>
    <xf numFmtId="43" fontId="23" fillId="0" borderId="0" xfId="0" applyNumberFormat="1" applyFont="1" applyBorder="1" applyAlignment="1">
      <alignment horizontal="left"/>
    </xf>
    <xf numFmtId="14" fontId="23" fillId="0" borderId="0" xfId="0" applyNumberFormat="1" applyFont="1" applyFill="1" applyBorder="1" applyAlignment="1">
      <alignment horizontal="center"/>
    </xf>
    <xf numFmtId="165" fontId="24" fillId="0" borderId="0" xfId="0" applyNumberFormat="1" applyFont="1" applyBorder="1" applyAlignment="1">
      <alignment horizontal="center"/>
    </xf>
    <xf numFmtId="43" fontId="25" fillId="0" borderId="0" xfId="0" applyNumberFormat="1" applyFont="1" applyBorder="1"/>
    <xf numFmtId="0" fontId="11" fillId="2" borderId="13" xfId="0" applyFont="1" applyFill="1" applyBorder="1" applyAlignment="1">
      <alignment horizontal="center" vertical="center"/>
    </xf>
    <xf numFmtId="0" fontId="11" fillId="2" borderId="17" xfId="0" applyFont="1" applyFill="1" applyBorder="1" applyAlignment="1">
      <alignment horizontal="center" vertical="center"/>
    </xf>
    <xf numFmtId="0" fontId="17" fillId="2" borderId="21" xfId="0" applyFont="1" applyFill="1" applyBorder="1" applyAlignment="1">
      <alignment horizontal="center"/>
    </xf>
    <xf numFmtId="0" fontId="17" fillId="2" borderId="2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center"/>
    </xf>
    <xf numFmtId="9" fontId="7" fillId="2" borderId="0" xfId="0" applyNumberFormat="1" applyFont="1" applyFill="1" applyBorder="1" applyAlignment="1">
      <alignment horizontal="center"/>
    </xf>
    <xf numFmtId="9" fontId="7" fillId="2" borderId="5" xfId="0" applyNumberFormat="1" applyFont="1" applyFill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/>
    </xf>
    <xf numFmtId="164" fontId="1" fillId="2" borderId="0" xfId="0" applyNumberFormat="1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44" fontId="4" fillId="4" borderId="2" xfId="0" applyNumberFormat="1" applyFont="1" applyFill="1" applyBorder="1" applyAlignment="1">
      <alignment horizontal="center"/>
    </xf>
    <xf numFmtId="44" fontId="4" fillId="4" borderId="3" xfId="0" applyNumberFormat="1" applyFont="1" applyFill="1" applyBorder="1" applyAlignment="1">
      <alignment horizontal="center"/>
    </xf>
    <xf numFmtId="43" fontId="19" fillId="4" borderId="0" xfId="1" applyFont="1" applyFill="1" applyBorder="1" applyAlignment="1">
      <alignment horizontal="right"/>
    </xf>
    <xf numFmtId="43" fontId="19" fillId="0" borderId="0" xfId="0" applyNumberFormat="1" applyFont="1" applyBorder="1" applyAlignment="1">
      <alignment horizontal="left"/>
    </xf>
    <xf numFmtId="43" fontId="23" fillId="4" borderId="0" xfId="1" applyFont="1" applyFill="1" applyBorder="1" applyAlignment="1">
      <alignment horizontal="center"/>
    </xf>
    <xf numFmtId="43" fontId="19" fillId="4" borderId="0" xfId="1" applyFont="1" applyFill="1" applyBorder="1" applyAlignment="1">
      <alignment horizontal="center"/>
    </xf>
  </cellXfs>
  <cellStyles count="2">
    <cellStyle name="Millares" xfId="1" builtinId="3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409575</xdr:colOff>
      <xdr:row>0</xdr:row>
      <xdr:rowOff>19050</xdr:rowOff>
    </xdr:from>
    <xdr:to>
      <xdr:col>2</xdr:col>
      <xdr:colOff>571500</xdr:colOff>
      <xdr:row>3</xdr:row>
      <xdr:rowOff>133350</xdr:rowOff>
    </xdr:to>
    <xdr:pic>
      <xdr:nvPicPr>
        <xdr:cNvPr id="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AFAF8"/>
            </a:clrFrom>
            <a:clrTo>
              <a:srgbClr val="FAFAF8">
                <a:alpha val="0"/>
              </a:srgbClr>
            </a:clrTo>
          </a:clrChange>
          <a:lum bright="4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492" y="19050"/>
          <a:ext cx="606425" cy="717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409575</xdr:colOff>
      <xdr:row>0</xdr:row>
      <xdr:rowOff>19050</xdr:rowOff>
    </xdr:from>
    <xdr:to>
      <xdr:col>2</xdr:col>
      <xdr:colOff>571500</xdr:colOff>
      <xdr:row>3</xdr:row>
      <xdr:rowOff>133350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AFAF8"/>
            </a:clrFrom>
            <a:clrTo>
              <a:srgbClr val="FAFAF8">
                <a:alpha val="0"/>
              </a:srgbClr>
            </a:clrTo>
          </a:clrChange>
          <a:lum bright="4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60960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K68"/>
  <sheetViews>
    <sheetView topLeftCell="A43" zoomScale="90" zoomScaleNormal="90" workbookViewId="0">
      <selection activeCell="F63" sqref="F63"/>
    </sheetView>
  </sheetViews>
  <sheetFormatPr baseColWidth="10" defaultRowHeight="15"/>
  <cols>
    <col min="1" max="1" width="2.7109375" customWidth="1"/>
    <col min="2" max="2" width="6.7109375" customWidth="1"/>
    <col min="3" max="3" width="12.5703125" customWidth="1"/>
    <col min="4" max="7" width="12.7109375" customWidth="1"/>
    <col min="9" max="10" width="12.7109375" customWidth="1"/>
    <col min="11" max="11" width="19.28515625" customWidth="1"/>
  </cols>
  <sheetData>
    <row r="1" spans="2:11" ht="15.75">
      <c r="B1" s="1"/>
      <c r="C1" s="2"/>
      <c r="D1" s="75" t="s">
        <v>0</v>
      </c>
      <c r="E1" s="75"/>
      <c r="F1" s="75"/>
      <c r="G1" s="75"/>
      <c r="H1" s="75"/>
      <c r="I1" s="75"/>
      <c r="J1" s="75"/>
      <c r="K1" s="3"/>
    </row>
    <row r="2" spans="2:11" ht="15.75">
      <c r="B2" s="4"/>
      <c r="C2" s="5"/>
      <c r="D2" s="76" t="s">
        <v>1</v>
      </c>
      <c r="E2" s="76"/>
      <c r="F2" s="76"/>
      <c r="G2" s="76"/>
      <c r="H2" s="76"/>
      <c r="I2" s="76"/>
      <c r="J2" s="76"/>
      <c r="K2" s="6"/>
    </row>
    <row r="3" spans="2:11" ht="15.75">
      <c r="B3" s="4"/>
      <c r="C3" s="5"/>
      <c r="D3" s="77" t="s">
        <v>2</v>
      </c>
      <c r="E3" s="77"/>
      <c r="F3" s="77"/>
      <c r="G3" s="77"/>
      <c r="H3" s="77"/>
      <c r="I3" s="77"/>
      <c r="J3" s="77"/>
      <c r="K3" s="7"/>
    </row>
    <row r="4" spans="2:11" ht="15.75" thickBot="1">
      <c r="B4" s="8"/>
      <c r="C4" s="9"/>
      <c r="D4" s="9"/>
      <c r="E4" s="9"/>
      <c r="F4" s="10" t="s">
        <v>3</v>
      </c>
      <c r="G4" s="40"/>
      <c r="H4" s="9"/>
      <c r="I4" s="9"/>
      <c r="J4" s="9"/>
      <c r="K4" s="11"/>
    </row>
    <row r="5" spans="2:11">
      <c r="B5" s="78"/>
      <c r="C5" s="79"/>
      <c r="D5" s="80"/>
      <c r="E5" s="80"/>
      <c r="F5" s="79"/>
      <c r="G5" s="79"/>
      <c r="H5" s="79"/>
      <c r="I5" s="82"/>
      <c r="J5" s="84"/>
      <c r="K5" s="85"/>
    </row>
    <row r="6" spans="2:11">
      <c r="B6" s="56" t="s">
        <v>4</v>
      </c>
      <c r="C6" s="57"/>
      <c r="D6" s="81"/>
      <c r="E6" s="81"/>
      <c r="F6" s="57" t="s">
        <v>5</v>
      </c>
      <c r="G6" s="57"/>
      <c r="H6" s="57"/>
      <c r="I6" s="83"/>
      <c r="J6" s="57" t="s">
        <v>6</v>
      </c>
      <c r="K6" s="58"/>
    </row>
    <row r="7" spans="2:11">
      <c r="B7" s="59"/>
      <c r="C7" s="60"/>
      <c r="D7" s="60"/>
      <c r="E7" s="60"/>
      <c r="F7" s="60"/>
      <c r="G7" s="60"/>
      <c r="H7" s="12"/>
      <c r="I7" s="61"/>
      <c r="J7" s="61"/>
      <c r="K7" s="62"/>
    </row>
    <row r="8" spans="2:11">
      <c r="B8" s="63" t="s">
        <v>7</v>
      </c>
      <c r="C8" s="64"/>
      <c r="D8" s="64"/>
      <c r="E8" s="64"/>
      <c r="F8" s="64"/>
      <c r="G8" s="64"/>
      <c r="H8" s="12"/>
      <c r="I8" s="65" t="s">
        <v>8</v>
      </c>
      <c r="J8" s="65"/>
      <c r="K8" s="66"/>
    </row>
    <row r="9" spans="2:11">
      <c r="B9" s="69" t="s">
        <v>9</v>
      </c>
      <c r="C9" s="71" t="s">
        <v>10</v>
      </c>
      <c r="D9" s="73" t="s">
        <v>11</v>
      </c>
      <c r="E9" s="73" t="s">
        <v>12</v>
      </c>
      <c r="F9" s="67" t="s">
        <v>13</v>
      </c>
      <c r="G9" s="52" t="s">
        <v>14</v>
      </c>
      <c r="H9" s="13">
        <f>I7</f>
        <v>0</v>
      </c>
      <c r="I9" s="14" t="s">
        <v>15</v>
      </c>
      <c r="J9" s="15" t="s">
        <v>15</v>
      </c>
      <c r="K9" s="16" t="s">
        <v>16</v>
      </c>
    </row>
    <row r="10" spans="2:11">
      <c r="B10" s="70"/>
      <c r="C10" s="72"/>
      <c r="D10" s="74"/>
      <c r="E10" s="74"/>
      <c r="F10" s="68"/>
      <c r="G10" s="53"/>
      <c r="H10" s="17" t="s">
        <v>17</v>
      </c>
      <c r="I10" s="18" t="s">
        <v>18</v>
      </c>
      <c r="J10" s="19" t="s">
        <v>19</v>
      </c>
      <c r="K10" s="20" t="s">
        <v>20</v>
      </c>
    </row>
    <row r="11" spans="2:11">
      <c r="B11" s="21">
        <v>50</v>
      </c>
      <c r="C11" s="22"/>
      <c r="D11" s="23">
        <v>0</v>
      </c>
      <c r="E11" s="24">
        <v>0</v>
      </c>
      <c r="F11" s="24">
        <v>0</v>
      </c>
      <c r="G11" s="25">
        <v>0</v>
      </c>
      <c r="H11" s="26">
        <v>0</v>
      </c>
      <c r="I11" s="27">
        <v>0</v>
      </c>
      <c r="J11" s="24">
        <v>0</v>
      </c>
      <c r="K11" s="28">
        <v>0</v>
      </c>
    </row>
    <row r="12" spans="2:11">
      <c r="B12" s="21">
        <v>51</v>
      </c>
      <c r="C12" s="22"/>
      <c r="D12" s="23">
        <v>0</v>
      </c>
      <c r="E12" s="24">
        <v>0</v>
      </c>
      <c r="F12" s="24">
        <v>0</v>
      </c>
      <c r="G12" s="25">
        <v>0</v>
      </c>
      <c r="H12" s="26">
        <v>0</v>
      </c>
      <c r="I12" s="27">
        <v>0</v>
      </c>
      <c r="J12" s="24">
        <v>0</v>
      </c>
      <c r="K12" s="28">
        <v>0</v>
      </c>
    </row>
    <row r="13" spans="2:11">
      <c r="B13" s="21">
        <v>52</v>
      </c>
      <c r="C13" s="22"/>
      <c r="D13" s="23">
        <v>0</v>
      </c>
      <c r="E13" s="24">
        <v>0</v>
      </c>
      <c r="F13" s="24">
        <v>0</v>
      </c>
      <c r="G13" s="25">
        <v>0</v>
      </c>
      <c r="H13" s="26">
        <v>0</v>
      </c>
      <c r="I13" s="27">
        <v>0</v>
      </c>
      <c r="J13" s="24">
        <v>0</v>
      </c>
      <c r="K13" s="28">
        <v>0</v>
      </c>
    </row>
    <row r="14" spans="2:11">
      <c r="B14" s="21">
        <v>1</v>
      </c>
      <c r="C14" s="22"/>
      <c r="D14" s="23">
        <v>0</v>
      </c>
      <c r="E14" s="24">
        <v>0</v>
      </c>
      <c r="F14" s="24">
        <v>0</v>
      </c>
      <c r="G14" s="25">
        <v>0</v>
      </c>
      <c r="H14" s="26">
        <v>0</v>
      </c>
      <c r="I14" s="27">
        <v>0</v>
      </c>
      <c r="J14" s="24">
        <v>0</v>
      </c>
      <c r="K14" s="28">
        <v>0</v>
      </c>
    </row>
    <row r="15" spans="2:11">
      <c r="B15" s="21">
        <v>2</v>
      </c>
      <c r="C15" s="22"/>
      <c r="D15" s="23">
        <v>0</v>
      </c>
      <c r="E15" s="24">
        <v>0</v>
      </c>
      <c r="F15" s="24">
        <v>0</v>
      </c>
      <c r="G15" s="25">
        <v>0</v>
      </c>
      <c r="H15" s="26">
        <v>0</v>
      </c>
      <c r="I15" s="27">
        <v>0</v>
      </c>
      <c r="J15" s="24">
        <v>0</v>
      </c>
      <c r="K15" s="28">
        <v>0</v>
      </c>
    </row>
    <row r="16" spans="2:11">
      <c r="B16" s="21">
        <v>3</v>
      </c>
      <c r="C16" s="22"/>
      <c r="D16" s="23">
        <v>0</v>
      </c>
      <c r="E16" s="24">
        <v>0</v>
      </c>
      <c r="F16" s="24">
        <v>0</v>
      </c>
      <c r="G16" s="25">
        <v>0</v>
      </c>
      <c r="H16" s="26">
        <v>0</v>
      </c>
      <c r="I16" s="27">
        <v>0</v>
      </c>
      <c r="J16" s="24">
        <v>0</v>
      </c>
      <c r="K16" s="28">
        <v>0</v>
      </c>
    </row>
    <row r="17" spans="2:11">
      <c r="B17" s="21">
        <v>4</v>
      </c>
      <c r="C17" s="22"/>
      <c r="D17" s="23">
        <v>0</v>
      </c>
      <c r="E17" s="24">
        <v>0</v>
      </c>
      <c r="F17" s="24">
        <v>0</v>
      </c>
      <c r="G17" s="25">
        <v>0</v>
      </c>
      <c r="H17" s="26">
        <v>0</v>
      </c>
      <c r="I17" s="27">
        <v>0</v>
      </c>
      <c r="J17" s="24">
        <v>0</v>
      </c>
      <c r="K17" s="28">
        <v>0</v>
      </c>
    </row>
    <row r="18" spans="2:11">
      <c r="B18" s="21">
        <v>5</v>
      </c>
      <c r="C18" s="22"/>
      <c r="D18" s="23">
        <v>0</v>
      </c>
      <c r="E18" s="24">
        <v>0</v>
      </c>
      <c r="F18" s="24">
        <v>0</v>
      </c>
      <c r="G18" s="25">
        <v>0</v>
      </c>
      <c r="H18" s="26">
        <v>0</v>
      </c>
      <c r="I18" s="27">
        <v>0</v>
      </c>
      <c r="J18" s="24">
        <v>0</v>
      </c>
      <c r="K18" s="28">
        <v>0</v>
      </c>
    </row>
    <row r="19" spans="2:11">
      <c r="B19" s="21">
        <v>6</v>
      </c>
      <c r="C19" s="22"/>
      <c r="D19" s="23">
        <v>0</v>
      </c>
      <c r="E19" s="24">
        <v>0</v>
      </c>
      <c r="F19" s="24">
        <v>0</v>
      </c>
      <c r="G19" s="25">
        <v>0</v>
      </c>
      <c r="H19" s="26">
        <v>0</v>
      </c>
      <c r="I19" s="27">
        <v>0</v>
      </c>
      <c r="J19" s="24">
        <v>0</v>
      </c>
      <c r="K19" s="28">
        <v>0</v>
      </c>
    </row>
    <row r="20" spans="2:11">
      <c r="B20" s="21">
        <v>7</v>
      </c>
      <c r="C20" s="29"/>
      <c r="D20" s="23">
        <v>0</v>
      </c>
      <c r="E20" s="24">
        <v>0</v>
      </c>
      <c r="F20" s="24">
        <v>0</v>
      </c>
      <c r="G20" s="25">
        <v>0</v>
      </c>
      <c r="H20" s="26">
        <v>0</v>
      </c>
      <c r="I20" s="27">
        <v>0</v>
      </c>
      <c r="J20" s="24">
        <v>0</v>
      </c>
      <c r="K20" s="28">
        <v>0</v>
      </c>
    </row>
    <row r="21" spans="2:11">
      <c r="B21" s="21">
        <v>8</v>
      </c>
      <c r="C21" s="30"/>
      <c r="D21" s="23">
        <v>0</v>
      </c>
      <c r="E21" s="24">
        <v>0</v>
      </c>
      <c r="F21" s="24">
        <v>0</v>
      </c>
      <c r="G21" s="25">
        <v>0</v>
      </c>
      <c r="H21" s="26">
        <v>0</v>
      </c>
      <c r="I21" s="27">
        <v>0</v>
      </c>
      <c r="J21" s="24">
        <v>0</v>
      </c>
      <c r="K21" s="28">
        <v>0</v>
      </c>
    </row>
    <row r="22" spans="2:11">
      <c r="B22" s="21">
        <v>9</v>
      </c>
      <c r="C22" s="30"/>
      <c r="D22" s="23">
        <v>0</v>
      </c>
      <c r="E22" s="24">
        <v>0</v>
      </c>
      <c r="F22" s="24">
        <v>0</v>
      </c>
      <c r="G22" s="25">
        <v>0</v>
      </c>
      <c r="H22" s="26">
        <v>0</v>
      </c>
      <c r="I22" s="27">
        <v>0</v>
      </c>
      <c r="J22" s="24">
        <v>0</v>
      </c>
      <c r="K22" s="28">
        <v>0</v>
      </c>
    </row>
    <row r="23" spans="2:11">
      <c r="B23" s="21">
        <v>10</v>
      </c>
      <c r="C23" s="30"/>
      <c r="D23" s="23">
        <v>0</v>
      </c>
      <c r="E23" s="24">
        <v>0</v>
      </c>
      <c r="F23" s="24">
        <v>0</v>
      </c>
      <c r="G23" s="25">
        <v>0</v>
      </c>
      <c r="H23" s="26">
        <v>0</v>
      </c>
      <c r="I23" s="27">
        <v>0</v>
      </c>
      <c r="J23" s="24">
        <v>0</v>
      </c>
      <c r="K23" s="28">
        <v>0</v>
      </c>
    </row>
    <row r="24" spans="2:11">
      <c r="B24" s="21">
        <v>11</v>
      </c>
      <c r="C24" s="30"/>
      <c r="D24" s="23">
        <v>0</v>
      </c>
      <c r="E24" s="24">
        <v>0</v>
      </c>
      <c r="F24" s="24">
        <v>0</v>
      </c>
      <c r="G24" s="25">
        <v>0</v>
      </c>
      <c r="H24" s="26">
        <v>0</v>
      </c>
      <c r="I24" s="27">
        <v>0</v>
      </c>
      <c r="J24" s="24">
        <v>0</v>
      </c>
      <c r="K24" s="28">
        <v>0</v>
      </c>
    </row>
    <row r="25" spans="2:11">
      <c r="B25" s="21">
        <v>12</v>
      </c>
      <c r="C25" s="30"/>
      <c r="D25" s="23">
        <v>0</v>
      </c>
      <c r="E25" s="24">
        <v>0</v>
      </c>
      <c r="F25" s="24">
        <v>0</v>
      </c>
      <c r="G25" s="25">
        <v>0</v>
      </c>
      <c r="H25" s="26">
        <v>0</v>
      </c>
      <c r="I25" s="27">
        <v>0</v>
      </c>
      <c r="J25" s="24">
        <v>0</v>
      </c>
      <c r="K25" s="28">
        <v>0</v>
      </c>
    </row>
    <row r="26" spans="2:11">
      <c r="B26" s="21">
        <v>13</v>
      </c>
      <c r="C26" s="30"/>
      <c r="D26" s="23">
        <v>0</v>
      </c>
      <c r="E26" s="24">
        <v>0</v>
      </c>
      <c r="F26" s="24">
        <v>0</v>
      </c>
      <c r="G26" s="25">
        <v>0</v>
      </c>
      <c r="H26" s="26">
        <v>0</v>
      </c>
      <c r="I26" s="27">
        <v>0</v>
      </c>
      <c r="J26" s="24">
        <v>0</v>
      </c>
      <c r="K26" s="28">
        <v>0</v>
      </c>
    </row>
    <row r="27" spans="2:11">
      <c r="B27" s="21">
        <v>14</v>
      </c>
      <c r="C27" s="30"/>
      <c r="D27" s="23">
        <v>0</v>
      </c>
      <c r="E27" s="24">
        <v>0</v>
      </c>
      <c r="F27" s="24">
        <v>0</v>
      </c>
      <c r="G27" s="25">
        <v>0</v>
      </c>
      <c r="H27" s="26">
        <v>0</v>
      </c>
      <c r="I27" s="27">
        <v>0</v>
      </c>
      <c r="J27" s="24">
        <v>0</v>
      </c>
      <c r="K27" s="28">
        <v>0</v>
      </c>
    </row>
    <row r="28" spans="2:11">
      <c r="B28" s="21">
        <v>15</v>
      </c>
      <c r="C28" s="30"/>
      <c r="D28" s="23">
        <v>0</v>
      </c>
      <c r="E28" s="24">
        <v>0</v>
      </c>
      <c r="F28" s="24">
        <v>0</v>
      </c>
      <c r="G28" s="25">
        <v>0</v>
      </c>
      <c r="H28" s="26">
        <v>0</v>
      </c>
      <c r="I28" s="27">
        <v>0</v>
      </c>
      <c r="J28" s="24">
        <v>0</v>
      </c>
      <c r="K28" s="28">
        <v>0</v>
      </c>
    </row>
    <row r="29" spans="2:11">
      <c r="B29" s="21">
        <v>16</v>
      </c>
      <c r="C29" s="30"/>
      <c r="D29" s="23">
        <v>0</v>
      </c>
      <c r="E29" s="24">
        <v>0</v>
      </c>
      <c r="F29" s="24">
        <v>0</v>
      </c>
      <c r="G29" s="25">
        <v>0</v>
      </c>
      <c r="H29" s="26">
        <v>0</v>
      </c>
      <c r="I29" s="27">
        <v>0</v>
      </c>
      <c r="J29" s="24">
        <v>0</v>
      </c>
      <c r="K29" s="28">
        <v>0</v>
      </c>
    </row>
    <row r="30" spans="2:11">
      <c r="B30" s="21">
        <v>17</v>
      </c>
      <c r="C30" s="30"/>
      <c r="D30" s="23">
        <v>0</v>
      </c>
      <c r="E30" s="24">
        <v>0</v>
      </c>
      <c r="F30" s="24">
        <v>0</v>
      </c>
      <c r="G30" s="25">
        <v>0</v>
      </c>
      <c r="H30" s="26">
        <v>0</v>
      </c>
      <c r="I30" s="27">
        <v>0</v>
      </c>
      <c r="J30" s="24">
        <v>0</v>
      </c>
      <c r="K30" s="28">
        <v>0</v>
      </c>
    </row>
    <row r="31" spans="2:11">
      <c r="B31" s="21">
        <v>18</v>
      </c>
      <c r="C31" s="30"/>
      <c r="D31" s="23">
        <v>0</v>
      </c>
      <c r="E31" s="24">
        <v>0</v>
      </c>
      <c r="F31" s="24">
        <v>0</v>
      </c>
      <c r="G31" s="25">
        <v>0</v>
      </c>
      <c r="H31" s="26">
        <v>0</v>
      </c>
      <c r="I31" s="27">
        <v>0</v>
      </c>
      <c r="J31" s="24">
        <v>0</v>
      </c>
      <c r="K31" s="28">
        <v>0</v>
      </c>
    </row>
    <row r="32" spans="2:11">
      <c r="B32" s="21">
        <v>19</v>
      </c>
      <c r="C32" s="30"/>
      <c r="D32" s="23">
        <v>0</v>
      </c>
      <c r="E32" s="24">
        <v>0</v>
      </c>
      <c r="F32" s="24">
        <v>0</v>
      </c>
      <c r="G32" s="25">
        <v>0</v>
      </c>
      <c r="H32" s="26">
        <v>0</v>
      </c>
      <c r="I32" s="27">
        <v>0</v>
      </c>
      <c r="J32" s="24">
        <v>0</v>
      </c>
      <c r="K32" s="28">
        <v>0</v>
      </c>
    </row>
    <row r="33" spans="2:11">
      <c r="B33" s="21">
        <v>20</v>
      </c>
      <c r="C33" s="30"/>
      <c r="D33" s="23">
        <v>0</v>
      </c>
      <c r="E33" s="24">
        <v>0</v>
      </c>
      <c r="F33" s="24">
        <v>0</v>
      </c>
      <c r="G33" s="25">
        <v>0</v>
      </c>
      <c r="H33" s="26">
        <v>0</v>
      </c>
      <c r="I33" s="27">
        <v>0</v>
      </c>
      <c r="J33" s="24">
        <v>0</v>
      </c>
      <c r="K33" s="28">
        <v>0</v>
      </c>
    </row>
    <row r="34" spans="2:11">
      <c r="B34" s="21">
        <v>21</v>
      </c>
      <c r="C34" s="30"/>
      <c r="D34" s="23">
        <v>0</v>
      </c>
      <c r="E34" s="24">
        <v>0</v>
      </c>
      <c r="F34" s="24">
        <v>0</v>
      </c>
      <c r="G34" s="25">
        <v>0</v>
      </c>
      <c r="H34" s="26">
        <v>0</v>
      </c>
      <c r="I34" s="27">
        <v>0</v>
      </c>
      <c r="J34" s="24">
        <v>0</v>
      </c>
      <c r="K34" s="28">
        <v>0</v>
      </c>
    </row>
    <row r="35" spans="2:11">
      <c r="B35" s="21">
        <v>22</v>
      </c>
      <c r="C35" s="30"/>
      <c r="D35" s="23">
        <v>0</v>
      </c>
      <c r="E35" s="24">
        <v>0</v>
      </c>
      <c r="F35" s="24">
        <v>0</v>
      </c>
      <c r="G35" s="25">
        <v>0</v>
      </c>
      <c r="H35" s="26">
        <v>0</v>
      </c>
      <c r="I35" s="27">
        <v>0</v>
      </c>
      <c r="J35" s="24">
        <v>0</v>
      </c>
      <c r="K35" s="28">
        <v>0</v>
      </c>
    </row>
    <row r="36" spans="2:11">
      <c r="B36" s="21">
        <v>23</v>
      </c>
      <c r="C36" s="30"/>
      <c r="D36" s="23">
        <v>0</v>
      </c>
      <c r="E36" s="24">
        <v>0</v>
      </c>
      <c r="F36" s="24">
        <v>0</v>
      </c>
      <c r="G36" s="25">
        <v>0</v>
      </c>
      <c r="H36" s="26">
        <v>0</v>
      </c>
      <c r="I36" s="27">
        <v>0</v>
      </c>
      <c r="J36" s="24">
        <v>0</v>
      </c>
      <c r="K36" s="28">
        <v>0</v>
      </c>
    </row>
    <row r="37" spans="2:11">
      <c r="B37" s="21">
        <v>24</v>
      </c>
      <c r="C37" s="30"/>
      <c r="D37" s="23">
        <v>0</v>
      </c>
      <c r="E37" s="24">
        <v>0</v>
      </c>
      <c r="F37" s="24">
        <v>0</v>
      </c>
      <c r="G37" s="25">
        <v>0</v>
      </c>
      <c r="H37" s="26">
        <v>0</v>
      </c>
      <c r="I37" s="27">
        <v>0</v>
      </c>
      <c r="J37" s="24">
        <v>0</v>
      </c>
      <c r="K37" s="28">
        <v>0</v>
      </c>
    </row>
    <row r="38" spans="2:11">
      <c r="B38" s="21">
        <v>25</v>
      </c>
      <c r="C38" s="30"/>
      <c r="D38" s="23">
        <v>0</v>
      </c>
      <c r="E38" s="24">
        <v>0</v>
      </c>
      <c r="F38" s="24">
        <v>0</v>
      </c>
      <c r="G38" s="25">
        <v>0</v>
      </c>
      <c r="H38" s="26">
        <v>0</v>
      </c>
      <c r="I38" s="27">
        <v>0</v>
      </c>
      <c r="J38" s="24">
        <v>0</v>
      </c>
      <c r="K38" s="28">
        <v>0</v>
      </c>
    </row>
    <row r="39" spans="2:11">
      <c r="B39" s="21">
        <v>26</v>
      </c>
      <c r="C39" s="30"/>
      <c r="D39" s="23">
        <v>0</v>
      </c>
      <c r="E39" s="24">
        <v>0</v>
      </c>
      <c r="F39" s="24">
        <v>0</v>
      </c>
      <c r="G39" s="25">
        <v>0</v>
      </c>
      <c r="H39" s="26">
        <v>0</v>
      </c>
      <c r="I39" s="27">
        <v>0</v>
      </c>
      <c r="J39" s="24">
        <v>0</v>
      </c>
      <c r="K39" s="28">
        <v>0</v>
      </c>
    </row>
    <row r="40" spans="2:11">
      <c r="B40" s="21">
        <v>27</v>
      </c>
      <c r="C40" s="30"/>
      <c r="D40" s="23">
        <v>0</v>
      </c>
      <c r="E40" s="24">
        <v>0</v>
      </c>
      <c r="F40" s="24">
        <v>0</v>
      </c>
      <c r="G40" s="25">
        <v>0</v>
      </c>
      <c r="H40" s="26">
        <v>0</v>
      </c>
      <c r="I40" s="27">
        <v>0</v>
      </c>
      <c r="J40" s="24">
        <v>0</v>
      </c>
      <c r="K40" s="28">
        <v>0</v>
      </c>
    </row>
    <row r="41" spans="2:11">
      <c r="B41" s="21">
        <v>28</v>
      </c>
      <c r="C41" s="30"/>
      <c r="D41" s="23">
        <v>0</v>
      </c>
      <c r="E41" s="24">
        <v>0</v>
      </c>
      <c r="F41" s="24">
        <v>0</v>
      </c>
      <c r="G41" s="25">
        <v>0</v>
      </c>
      <c r="H41" s="26">
        <v>0</v>
      </c>
      <c r="I41" s="27">
        <v>0</v>
      </c>
      <c r="J41" s="24">
        <v>0</v>
      </c>
      <c r="K41" s="28">
        <v>0</v>
      </c>
    </row>
    <row r="42" spans="2:11">
      <c r="B42" s="21">
        <v>29</v>
      </c>
      <c r="C42" s="30"/>
      <c r="D42" s="23">
        <v>0</v>
      </c>
      <c r="E42" s="24">
        <v>0</v>
      </c>
      <c r="F42" s="24">
        <v>0</v>
      </c>
      <c r="G42" s="25">
        <v>0</v>
      </c>
      <c r="H42" s="26">
        <v>0</v>
      </c>
      <c r="I42" s="27">
        <v>0</v>
      </c>
      <c r="J42" s="24">
        <v>0</v>
      </c>
      <c r="K42" s="28">
        <v>0</v>
      </c>
    </row>
    <row r="43" spans="2:11">
      <c r="B43" s="21">
        <v>30</v>
      </c>
      <c r="C43" s="30"/>
      <c r="D43" s="23">
        <v>0</v>
      </c>
      <c r="E43" s="24">
        <v>0</v>
      </c>
      <c r="F43" s="24">
        <v>0</v>
      </c>
      <c r="G43" s="25">
        <v>0</v>
      </c>
      <c r="H43" s="26">
        <v>0</v>
      </c>
      <c r="I43" s="27">
        <v>0</v>
      </c>
      <c r="J43" s="24">
        <v>0</v>
      </c>
      <c r="K43" s="28">
        <v>0</v>
      </c>
    </row>
    <row r="44" spans="2:11">
      <c r="B44" s="21">
        <v>31</v>
      </c>
      <c r="C44" s="30"/>
      <c r="D44" s="23">
        <v>0</v>
      </c>
      <c r="E44" s="24">
        <v>0</v>
      </c>
      <c r="F44" s="24">
        <v>0</v>
      </c>
      <c r="G44" s="25">
        <v>0</v>
      </c>
      <c r="H44" s="26">
        <v>0</v>
      </c>
      <c r="I44" s="27">
        <v>0</v>
      </c>
      <c r="J44" s="24">
        <v>0</v>
      </c>
      <c r="K44" s="28">
        <v>0</v>
      </c>
    </row>
    <row r="45" spans="2:11">
      <c r="B45" s="21">
        <v>32</v>
      </c>
      <c r="C45" s="30"/>
      <c r="D45" s="23">
        <v>0</v>
      </c>
      <c r="E45" s="24">
        <v>0</v>
      </c>
      <c r="F45" s="24">
        <v>0</v>
      </c>
      <c r="G45" s="25">
        <v>0</v>
      </c>
      <c r="H45" s="26">
        <v>0</v>
      </c>
      <c r="I45" s="27">
        <v>0</v>
      </c>
      <c r="J45" s="24">
        <v>0</v>
      </c>
      <c r="K45" s="28">
        <v>0</v>
      </c>
    </row>
    <row r="46" spans="2:11">
      <c r="B46" s="21">
        <v>33</v>
      </c>
      <c r="C46" s="30"/>
      <c r="D46" s="23">
        <v>0</v>
      </c>
      <c r="E46" s="24">
        <v>0</v>
      </c>
      <c r="F46" s="24">
        <v>0</v>
      </c>
      <c r="G46" s="25">
        <v>0</v>
      </c>
      <c r="H46" s="26">
        <v>0</v>
      </c>
      <c r="I46" s="27">
        <v>0</v>
      </c>
      <c r="J46" s="24">
        <v>0</v>
      </c>
      <c r="K46" s="28">
        <v>0</v>
      </c>
    </row>
    <row r="47" spans="2:11">
      <c r="B47" s="21">
        <v>34</v>
      </c>
      <c r="C47" s="30"/>
      <c r="D47" s="23">
        <v>0</v>
      </c>
      <c r="E47" s="24">
        <v>0</v>
      </c>
      <c r="F47" s="24">
        <v>0</v>
      </c>
      <c r="G47" s="25">
        <v>0</v>
      </c>
      <c r="H47" s="26">
        <v>0</v>
      </c>
      <c r="I47" s="27">
        <v>0</v>
      </c>
      <c r="J47" s="24">
        <v>0</v>
      </c>
      <c r="K47" s="28">
        <v>0</v>
      </c>
    </row>
    <row r="48" spans="2:11">
      <c r="B48" s="21">
        <v>35</v>
      </c>
      <c r="C48" s="30"/>
      <c r="D48" s="23">
        <v>0</v>
      </c>
      <c r="E48" s="24">
        <v>0</v>
      </c>
      <c r="F48" s="24">
        <v>0</v>
      </c>
      <c r="G48" s="25">
        <v>0</v>
      </c>
      <c r="H48" s="26">
        <v>0</v>
      </c>
      <c r="I48" s="27">
        <v>0</v>
      </c>
      <c r="J48" s="24">
        <v>0</v>
      </c>
      <c r="K48" s="28">
        <v>0</v>
      </c>
    </row>
    <row r="49" spans="2:11">
      <c r="B49" s="21">
        <v>36</v>
      </c>
      <c r="C49" s="30"/>
      <c r="D49" s="23">
        <v>0</v>
      </c>
      <c r="E49" s="24">
        <v>0</v>
      </c>
      <c r="F49" s="24">
        <v>0</v>
      </c>
      <c r="G49" s="25">
        <v>0</v>
      </c>
      <c r="H49" s="26">
        <v>0</v>
      </c>
      <c r="I49" s="27">
        <v>0</v>
      </c>
      <c r="J49" s="24">
        <v>0</v>
      </c>
      <c r="K49" s="28">
        <v>0</v>
      </c>
    </row>
    <row r="50" spans="2:11">
      <c r="B50" s="21">
        <v>37</v>
      </c>
      <c r="C50" s="30"/>
      <c r="D50" s="23">
        <v>0</v>
      </c>
      <c r="E50" s="24">
        <v>0</v>
      </c>
      <c r="F50" s="24">
        <v>0</v>
      </c>
      <c r="G50" s="25">
        <v>0</v>
      </c>
      <c r="H50" s="26">
        <v>0</v>
      </c>
      <c r="I50" s="27">
        <v>0</v>
      </c>
      <c r="J50" s="24">
        <v>0</v>
      </c>
      <c r="K50" s="28">
        <v>0</v>
      </c>
    </row>
    <row r="51" spans="2:11">
      <c r="B51" s="21">
        <v>38</v>
      </c>
      <c r="C51" s="30"/>
      <c r="D51" s="23">
        <v>0</v>
      </c>
      <c r="E51" s="24">
        <v>0</v>
      </c>
      <c r="F51" s="24">
        <v>0</v>
      </c>
      <c r="G51" s="25">
        <v>0</v>
      </c>
      <c r="H51" s="26">
        <v>0</v>
      </c>
      <c r="I51" s="27">
        <v>0</v>
      </c>
      <c r="J51" s="24">
        <v>0</v>
      </c>
      <c r="K51" s="28">
        <v>0</v>
      </c>
    </row>
    <row r="52" spans="2:11">
      <c r="B52" s="21">
        <v>39</v>
      </c>
      <c r="C52" s="30"/>
      <c r="D52" s="23">
        <v>0</v>
      </c>
      <c r="E52" s="24">
        <v>0</v>
      </c>
      <c r="F52" s="24">
        <v>0</v>
      </c>
      <c r="G52" s="25">
        <v>0</v>
      </c>
      <c r="H52" s="26">
        <v>0</v>
      </c>
      <c r="I52" s="27">
        <v>0</v>
      </c>
      <c r="J52" s="24">
        <v>0</v>
      </c>
      <c r="K52" s="28">
        <v>0</v>
      </c>
    </row>
    <row r="53" spans="2:11">
      <c r="B53" s="21">
        <v>40</v>
      </c>
      <c r="C53" s="30"/>
      <c r="D53" s="23">
        <v>0</v>
      </c>
      <c r="E53" s="24">
        <v>0</v>
      </c>
      <c r="F53" s="24">
        <v>0</v>
      </c>
      <c r="G53" s="25">
        <v>0</v>
      </c>
      <c r="H53" s="26">
        <v>0</v>
      </c>
      <c r="I53" s="27">
        <v>0</v>
      </c>
      <c r="J53" s="24">
        <v>0</v>
      </c>
      <c r="K53" s="28">
        <v>0</v>
      </c>
    </row>
    <row r="54" spans="2:11">
      <c r="B54" s="21">
        <v>41</v>
      </c>
      <c r="C54" s="30"/>
      <c r="D54" s="23">
        <v>0</v>
      </c>
      <c r="E54" s="24">
        <v>0</v>
      </c>
      <c r="F54" s="24">
        <v>0</v>
      </c>
      <c r="G54" s="25">
        <v>0</v>
      </c>
      <c r="H54" s="26">
        <v>0</v>
      </c>
      <c r="I54" s="27">
        <v>0</v>
      </c>
      <c r="J54" s="24">
        <v>0</v>
      </c>
      <c r="K54" s="28">
        <v>0</v>
      </c>
    </row>
    <row r="55" spans="2:11">
      <c r="B55" s="21">
        <v>42</v>
      </c>
      <c r="C55" s="30"/>
      <c r="D55" s="23">
        <v>0</v>
      </c>
      <c r="E55" s="24">
        <v>0</v>
      </c>
      <c r="F55" s="24">
        <v>0</v>
      </c>
      <c r="G55" s="25">
        <v>0</v>
      </c>
      <c r="H55" s="26">
        <v>0</v>
      </c>
      <c r="I55" s="27">
        <v>0</v>
      </c>
      <c r="J55" s="24">
        <v>0</v>
      </c>
      <c r="K55" s="28">
        <v>0</v>
      </c>
    </row>
    <row r="56" spans="2:11">
      <c r="B56" s="21">
        <v>43</v>
      </c>
      <c r="C56" s="30"/>
      <c r="D56" s="23">
        <v>0</v>
      </c>
      <c r="E56" s="24">
        <v>0</v>
      </c>
      <c r="F56" s="24">
        <v>0</v>
      </c>
      <c r="G56" s="25">
        <v>0</v>
      </c>
      <c r="H56" s="26">
        <v>0</v>
      </c>
      <c r="I56" s="27">
        <v>0</v>
      </c>
      <c r="J56" s="24">
        <v>0</v>
      </c>
      <c r="K56" s="28">
        <v>0</v>
      </c>
    </row>
    <row r="57" spans="2:11">
      <c r="B57" s="21">
        <v>44</v>
      </c>
      <c r="C57" s="30"/>
      <c r="D57" s="23">
        <v>0</v>
      </c>
      <c r="E57" s="24">
        <v>0</v>
      </c>
      <c r="F57" s="24">
        <v>0</v>
      </c>
      <c r="G57" s="25">
        <v>0</v>
      </c>
      <c r="H57" s="26">
        <v>0</v>
      </c>
      <c r="I57" s="27">
        <v>0</v>
      </c>
      <c r="J57" s="24">
        <v>0</v>
      </c>
      <c r="K57" s="28">
        <v>0</v>
      </c>
    </row>
    <row r="58" spans="2:11">
      <c r="B58" s="21">
        <v>45</v>
      </c>
      <c r="C58" s="30"/>
      <c r="D58" s="23">
        <v>0</v>
      </c>
      <c r="E58" s="24">
        <v>0</v>
      </c>
      <c r="F58" s="24">
        <v>0</v>
      </c>
      <c r="G58" s="25">
        <v>0</v>
      </c>
      <c r="H58" s="26">
        <v>0</v>
      </c>
      <c r="I58" s="27">
        <v>0</v>
      </c>
      <c r="J58" s="24">
        <v>0</v>
      </c>
      <c r="K58" s="28">
        <v>0</v>
      </c>
    </row>
    <row r="59" spans="2:11">
      <c r="B59" s="21">
        <v>46</v>
      </c>
      <c r="C59" s="30"/>
      <c r="D59" s="23">
        <v>0</v>
      </c>
      <c r="E59" s="24">
        <v>0</v>
      </c>
      <c r="F59" s="24">
        <v>0</v>
      </c>
      <c r="G59" s="25">
        <v>0</v>
      </c>
      <c r="H59" s="26">
        <v>0</v>
      </c>
      <c r="I59" s="27">
        <v>0</v>
      </c>
      <c r="J59" s="24">
        <v>0</v>
      </c>
      <c r="K59" s="28">
        <v>0</v>
      </c>
    </row>
    <row r="60" spans="2:11">
      <c r="B60" s="21">
        <v>47</v>
      </c>
      <c r="C60" s="22"/>
      <c r="D60" s="23">
        <v>0</v>
      </c>
      <c r="E60" s="24">
        <v>0</v>
      </c>
      <c r="F60" s="24">
        <v>0</v>
      </c>
      <c r="G60" s="25">
        <v>0</v>
      </c>
      <c r="H60" s="26">
        <v>0</v>
      </c>
      <c r="I60" s="27">
        <v>0</v>
      </c>
      <c r="J60" s="24">
        <v>0</v>
      </c>
      <c r="K60" s="28">
        <v>0</v>
      </c>
    </row>
    <row r="61" spans="2:11">
      <c r="B61" s="21">
        <v>48</v>
      </c>
      <c r="C61" s="22"/>
      <c r="D61" s="23">
        <v>0</v>
      </c>
      <c r="E61" s="24">
        <v>0</v>
      </c>
      <c r="F61" s="24">
        <v>0</v>
      </c>
      <c r="G61" s="25">
        <v>0</v>
      </c>
      <c r="H61" s="26">
        <v>0</v>
      </c>
      <c r="I61" s="27">
        <v>0</v>
      </c>
      <c r="J61" s="24">
        <v>0</v>
      </c>
      <c r="K61" s="28">
        <v>0</v>
      </c>
    </row>
    <row r="62" spans="2:11">
      <c r="B62" s="21">
        <v>49</v>
      </c>
      <c r="C62" s="22"/>
      <c r="D62" s="23">
        <v>0</v>
      </c>
      <c r="E62" s="24">
        <v>0</v>
      </c>
      <c r="F62" s="24">
        <v>0</v>
      </c>
      <c r="G62" s="25">
        <v>0</v>
      </c>
      <c r="H62" s="26">
        <v>0</v>
      </c>
      <c r="I62" s="27">
        <v>0</v>
      </c>
      <c r="J62" s="24">
        <v>0</v>
      </c>
      <c r="K62" s="28">
        <v>0</v>
      </c>
    </row>
    <row r="63" spans="2:11">
      <c r="B63" s="31"/>
      <c r="C63" s="32"/>
      <c r="D63" s="33">
        <f>SUM(D11:D62)</f>
        <v>0</v>
      </c>
      <c r="E63" s="33">
        <f>SUM(E11:E62)</f>
        <v>0</v>
      </c>
      <c r="F63" s="33">
        <f>SUM(F11:F62)</f>
        <v>0</v>
      </c>
      <c r="G63" s="34"/>
      <c r="H63" s="35">
        <f>SUM(H11:H62)</f>
        <v>0</v>
      </c>
      <c r="I63" s="36">
        <f>IF((D63+E63-F63-H63-K63)&lt;0,(D63+E63-F63-H63-K63),0)</f>
        <v>0</v>
      </c>
      <c r="J63" s="33">
        <f>IF((D63+E63-F63-H63-K63)&gt;0,D63+E63-F63-H63-K63,0)</f>
        <v>0</v>
      </c>
      <c r="K63" s="37">
        <f>SUM(K11:K62)</f>
        <v>0</v>
      </c>
    </row>
    <row r="64" spans="2:11">
      <c r="B64" s="4"/>
      <c r="C64" s="5"/>
      <c r="D64" s="38"/>
      <c r="E64" s="38"/>
      <c r="F64" s="38"/>
      <c r="G64" s="38"/>
      <c r="H64" s="38"/>
      <c r="I64" s="38"/>
      <c r="J64" s="38"/>
      <c r="K64" s="7"/>
    </row>
    <row r="65" spans="2:11">
      <c r="B65" s="4"/>
      <c r="C65" s="5"/>
      <c r="D65" s="38"/>
      <c r="E65" s="38"/>
      <c r="F65" s="38"/>
      <c r="G65" s="38"/>
      <c r="H65" s="38"/>
      <c r="I65" s="38"/>
      <c r="J65" s="38"/>
      <c r="K65" s="7"/>
    </row>
    <row r="66" spans="2:11">
      <c r="B66" s="4"/>
      <c r="C66" s="5"/>
      <c r="D66" s="38"/>
      <c r="E66" s="38"/>
      <c r="F66" s="38"/>
      <c r="G66" s="38"/>
      <c r="H66" s="38"/>
      <c r="I66" s="38"/>
      <c r="J66" s="38"/>
      <c r="K66" s="7"/>
    </row>
    <row r="67" spans="2:11" ht="15.75" thickBot="1">
      <c r="B67" s="8"/>
      <c r="C67" s="9"/>
      <c r="D67" s="39"/>
      <c r="E67" s="39"/>
      <c r="F67" s="39"/>
      <c r="G67" s="38"/>
      <c r="H67" s="38"/>
      <c r="I67" s="38"/>
      <c r="J67" s="38"/>
      <c r="K67" s="7"/>
    </row>
    <row r="68" spans="2:11" ht="15.75" thickBot="1">
      <c r="B68" s="54" t="s">
        <v>21</v>
      </c>
      <c r="C68" s="55"/>
      <c r="D68" s="55"/>
      <c r="E68" s="55"/>
      <c r="F68" s="55"/>
      <c r="G68" s="39"/>
      <c r="H68" s="39"/>
      <c r="I68" s="39"/>
      <c r="J68" s="39"/>
      <c r="K68" s="11"/>
    </row>
  </sheetData>
  <protectedRanges>
    <protectedRange password="CFFB" sqref="G11:G62" name="Rango15_1_1"/>
    <protectedRange password="CFFB" sqref="B5" name="Rango1_1_1"/>
    <protectedRange password="CFFB" sqref="F5" name="Rango2_1_1"/>
    <protectedRange password="CFFB" sqref="B7" name="Rango3_1_1"/>
    <protectedRange password="CFFB" sqref="J5" name="Rango4_1_1"/>
    <protectedRange password="CFFB" sqref="C11:C62" name="Rango5_1_1"/>
    <protectedRange password="CFFB" sqref="D11:F62" name="Rango6_1_1"/>
    <protectedRange password="CFFB" sqref="K11:K62" name="Rango7_1_1"/>
  </protectedRanges>
  <mergeCells count="22">
    <mergeCell ref="D1:J1"/>
    <mergeCell ref="D2:J2"/>
    <mergeCell ref="D3:J3"/>
    <mergeCell ref="B5:C5"/>
    <mergeCell ref="D5:E6"/>
    <mergeCell ref="F5:H5"/>
    <mergeCell ref="I5:I6"/>
    <mergeCell ref="J5:K5"/>
    <mergeCell ref="G9:G10"/>
    <mergeCell ref="B68:F68"/>
    <mergeCell ref="B6:C6"/>
    <mergeCell ref="F6:H6"/>
    <mergeCell ref="J6:K6"/>
    <mergeCell ref="B7:G7"/>
    <mergeCell ref="I7:K7"/>
    <mergeCell ref="B8:G8"/>
    <mergeCell ref="I8:K8"/>
    <mergeCell ref="F9:F10"/>
    <mergeCell ref="B9:B10"/>
    <mergeCell ref="C9:C10"/>
    <mergeCell ref="D9:D10"/>
    <mergeCell ref="E9:E10"/>
  </mergeCells>
  <pageMargins left="0.7" right="0.7" top="0.75" bottom="0.75" header="0.3" footer="0.3"/>
  <pageSetup scale="69" orientation="portrait" horizontalDpi="4294967294" verticalDpi="429496729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K68"/>
  <sheetViews>
    <sheetView tabSelected="1" topLeftCell="A33" zoomScale="85" zoomScaleNormal="85" workbookViewId="0">
      <selection activeCell="I52" sqref="I52:J52"/>
    </sheetView>
  </sheetViews>
  <sheetFormatPr baseColWidth="10" defaultRowHeight="15"/>
  <cols>
    <col min="1" max="1" width="2.7109375" customWidth="1"/>
    <col min="2" max="2" width="6.7109375" customWidth="1"/>
    <col min="3" max="3" width="12.5703125" customWidth="1"/>
    <col min="4" max="7" width="12.7109375" customWidth="1"/>
    <col min="9" max="10" width="12.7109375" customWidth="1"/>
    <col min="11" max="11" width="19.28515625" customWidth="1"/>
  </cols>
  <sheetData>
    <row r="1" spans="2:11" ht="15.75">
      <c r="B1" s="1"/>
      <c r="C1" s="2"/>
      <c r="D1" s="75" t="s">
        <v>0</v>
      </c>
      <c r="E1" s="75"/>
      <c r="F1" s="75"/>
      <c r="G1" s="75"/>
      <c r="H1" s="75"/>
      <c r="I1" s="75"/>
      <c r="J1" s="75"/>
      <c r="K1" s="3"/>
    </row>
    <row r="2" spans="2:11" ht="15.75">
      <c r="B2" s="4"/>
      <c r="C2" s="5"/>
      <c r="D2" s="76" t="s">
        <v>1</v>
      </c>
      <c r="E2" s="76"/>
      <c r="F2" s="76"/>
      <c r="G2" s="76"/>
      <c r="H2" s="76"/>
      <c r="I2" s="76"/>
      <c r="J2" s="76"/>
      <c r="K2" s="6"/>
    </row>
    <row r="3" spans="2:11" ht="15.75">
      <c r="B3" s="4"/>
      <c r="C3" s="5"/>
      <c r="D3" s="77" t="s">
        <v>2</v>
      </c>
      <c r="E3" s="77"/>
      <c r="F3" s="77"/>
      <c r="G3" s="77"/>
      <c r="H3" s="77"/>
      <c r="I3" s="77"/>
      <c r="J3" s="77"/>
      <c r="K3" s="7"/>
    </row>
    <row r="4" spans="2:11" ht="15.75" thickBot="1">
      <c r="B4" s="8"/>
      <c r="C4" s="9"/>
      <c r="D4" s="9"/>
      <c r="E4" s="9"/>
      <c r="F4" s="10" t="s">
        <v>3</v>
      </c>
      <c r="G4" s="40">
        <f>Hoja1!G4</f>
        <v>0</v>
      </c>
      <c r="H4" s="9"/>
      <c r="I4" s="9"/>
      <c r="J4" s="9"/>
      <c r="K4" s="11"/>
    </row>
    <row r="5" spans="2:11">
      <c r="B5" s="78">
        <f>Hoja1!B5</f>
        <v>0</v>
      </c>
      <c r="C5" s="79"/>
      <c r="D5" s="80"/>
      <c r="E5" s="80"/>
      <c r="F5" s="79">
        <f>Hoja1!F5</f>
        <v>0</v>
      </c>
      <c r="G5" s="79"/>
      <c r="H5" s="79"/>
      <c r="I5" s="82"/>
      <c r="J5" s="84">
        <f>Hoja1!J5</f>
        <v>0</v>
      </c>
      <c r="K5" s="85"/>
    </row>
    <row r="6" spans="2:11">
      <c r="B6" s="56" t="s">
        <v>4</v>
      </c>
      <c r="C6" s="57"/>
      <c r="D6" s="81"/>
      <c r="E6" s="81"/>
      <c r="F6" s="57" t="s">
        <v>5</v>
      </c>
      <c r="G6" s="57"/>
      <c r="H6" s="57"/>
      <c r="I6" s="83"/>
      <c r="J6" s="57" t="s">
        <v>6</v>
      </c>
      <c r="K6" s="58"/>
    </row>
    <row r="7" spans="2:11">
      <c r="B7" s="59">
        <f>Hoja1!B7</f>
        <v>0</v>
      </c>
      <c r="C7" s="60"/>
      <c r="D7" s="60"/>
      <c r="E7" s="60"/>
      <c r="F7" s="60"/>
      <c r="G7" s="60"/>
      <c r="H7" s="12"/>
      <c r="I7" s="61">
        <f>Hoja1!I7</f>
        <v>0</v>
      </c>
      <c r="J7" s="61"/>
      <c r="K7" s="62"/>
    </row>
    <row r="8" spans="2:11">
      <c r="B8" s="63" t="s">
        <v>7</v>
      </c>
      <c r="C8" s="64"/>
      <c r="D8" s="64"/>
      <c r="E8" s="64"/>
      <c r="F8" s="64"/>
      <c r="G8" s="64"/>
      <c r="H8" s="12"/>
      <c r="I8" s="65" t="s">
        <v>8</v>
      </c>
      <c r="J8" s="65"/>
      <c r="K8" s="66"/>
    </row>
    <row r="9" spans="2:11">
      <c r="B9" s="21"/>
      <c r="C9" s="22"/>
      <c r="D9" s="23"/>
      <c r="E9" s="24"/>
      <c r="F9" s="24"/>
      <c r="G9" s="25"/>
      <c r="H9" s="41"/>
      <c r="I9" s="27"/>
      <c r="J9" s="24"/>
      <c r="K9" s="28"/>
    </row>
    <row r="10" spans="2:11">
      <c r="B10" s="21"/>
      <c r="C10" s="22"/>
      <c r="D10" s="23"/>
      <c r="E10" s="24"/>
      <c r="F10" s="24"/>
      <c r="G10" s="25"/>
      <c r="H10" s="27"/>
      <c r="I10" s="27"/>
      <c r="J10" s="24"/>
      <c r="K10" s="28"/>
    </row>
    <row r="11" spans="2:11">
      <c r="B11" s="21"/>
      <c r="C11" s="22"/>
      <c r="D11" s="23"/>
      <c r="E11" s="24"/>
      <c r="F11" s="24"/>
      <c r="G11" s="25"/>
      <c r="H11" s="27"/>
      <c r="I11" s="27"/>
      <c r="J11" s="24"/>
      <c r="K11" s="28"/>
    </row>
    <row r="12" spans="2:11">
      <c r="B12" s="21"/>
      <c r="C12" s="22"/>
      <c r="D12" s="23"/>
      <c r="E12" s="24"/>
      <c r="F12" s="24"/>
      <c r="G12" s="25"/>
      <c r="H12" s="26"/>
      <c r="I12" s="27"/>
      <c r="J12" s="24"/>
      <c r="K12" s="28"/>
    </row>
    <row r="13" spans="2:11">
      <c r="B13" s="21"/>
      <c r="C13" s="22"/>
      <c r="K13" s="28"/>
    </row>
    <row r="14" spans="2:11">
      <c r="B14" s="21"/>
      <c r="C14" s="22"/>
      <c r="K14" s="28"/>
    </row>
    <row r="15" spans="2:11">
      <c r="B15" s="21"/>
      <c r="C15" s="22"/>
      <c r="D15" s="87" t="s">
        <v>22</v>
      </c>
      <c r="E15" s="87"/>
      <c r="F15" s="87"/>
      <c r="G15" s="42"/>
      <c r="H15" s="43"/>
      <c r="I15" s="86">
        <f>J5</f>
        <v>0</v>
      </c>
      <c r="J15" s="86"/>
      <c r="K15" s="28"/>
    </row>
    <row r="16" spans="2:11">
      <c r="B16" s="21"/>
      <c r="C16" s="22"/>
      <c r="D16" s="44"/>
      <c r="E16" s="45"/>
      <c r="F16" s="45"/>
      <c r="G16" s="42"/>
      <c r="H16" s="43"/>
      <c r="I16" s="46"/>
      <c r="J16" s="45"/>
      <c r="K16" s="28"/>
    </row>
    <row r="17" spans="2:11">
      <c r="B17" s="21"/>
      <c r="C17" s="22"/>
      <c r="D17" s="44"/>
      <c r="E17" s="45"/>
      <c r="F17" s="45"/>
      <c r="G17" s="42"/>
      <c r="H17" s="43"/>
      <c r="I17" s="46"/>
      <c r="J17" s="45"/>
      <c r="K17" s="28"/>
    </row>
    <row r="18" spans="2:11">
      <c r="B18" s="21"/>
      <c r="C18" s="22"/>
      <c r="D18" s="47" t="s">
        <v>11</v>
      </c>
      <c r="E18" s="47"/>
      <c r="F18" s="47"/>
      <c r="G18" s="42"/>
      <c r="H18" s="43"/>
      <c r="I18" s="89">
        <f>Hoja1!D63</f>
        <v>0</v>
      </c>
      <c r="J18" s="89"/>
      <c r="K18" s="28"/>
    </row>
    <row r="19" spans="2:11">
      <c r="B19" s="21"/>
      <c r="C19" s="22"/>
      <c r="D19" s="44"/>
      <c r="E19" s="45"/>
      <c r="F19" s="45"/>
      <c r="G19" s="42"/>
      <c r="H19" s="43"/>
      <c r="I19" s="46"/>
      <c r="J19" s="45"/>
      <c r="K19" s="28"/>
    </row>
    <row r="20" spans="2:11">
      <c r="B20" s="21"/>
      <c r="C20" s="22"/>
      <c r="D20" s="44"/>
      <c r="E20" s="45"/>
      <c r="F20" s="45"/>
      <c r="G20" s="42"/>
      <c r="H20" s="43"/>
      <c r="I20" s="46"/>
      <c r="J20" s="45"/>
      <c r="K20" s="28"/>
    </row>
    <row r="21" spans="2:11">
      <c r="B21" s="21"/>
      <c r="C21" s="22"/>
      <c r="D21" s="47" t="s">
        <v>23</v>
      </c>
      <c r="E21" s="47"/>
      <c r="F21" s="47"/>
      <c r="G21" s="42"/>
      <c r="H21" s="43"/>
      <c r="I21" s="89">
        <f>Hoja1!E63</f>
        <v>0</v>
      </c>
      <c r="J21" s="89"/>
      <c r="K21" s="28"/>
    </row>
    <row r="22" spans="2:11">
      <c r="B22" s="21"/>
      <c r="C22" s="29"/>
      <c r="D22" s="23"/>
      <c r="E22" s="24"/>
      <c r="F22" s="24"/>
      <c r="G22" s="25"/>
      <c r="H22" s="26"/>
      <c r="I22" s="27"/>
      <c r="J22" s="24"/>
      <c r="K22" s="28"/>
    </row>
    <row r="23" spans="2:11">
      <c r="B23" s="21"/>
      <c r="C23" s="30"/>
      <c r="D23" s="23"/>
      <c r="E23" s="24"/>
      <c r="F23" s="24"/>
      <c r="G23" s="25"/>
      <c r="H23" s="26"/>
      <c r="I23" s="27"/>
      <c r="J23" s="24"/>
      <c r="K23" s="28"/>
    </row>
    <row r="24" spans="2:11" ht="18">
      <c r="B24" s="21"/>
      <c r="C24" s="49"/>
      <c r="D24" s="48" t="s">
        <v>24</v>
      </c>
      <c r="E24" s="48"/>
      <c r="F24" s="48"/>
      <c r="G24" s="50"/>
      <c r="H24" s="51"/>
      <c r="I24" s="88">
        <f>SUM(I15,I18,I21)</f>
        <v>0</v>
      </c>
      <c r="J24" s="88"/>
      <c r="K24" s="28"/>
    </row>
    <row r="25" spans="2:11">
      <c r="B25" s="21"/>
      <c r="C25" s="30"/>
      <c r="D25" s="23"/>
      <c r="E25" s="24"/>
      <c r="F25" s="24"/>
      <c r="G25" s="25"/>
      <c r="H25" s="26"/>
      <c r="I25" s="27"/>
      <c r="J25" s="24"/>
      <c r="K25" s="28"/>
    </row>
    <row r="26" spans="2:11">
      <c r="B26" s="21"/>
      <c r="C26" s="30"/>
      <c r="D26" s="23"/>
      <c r="E26" s="24"/>
      <c r="F26" s="24"/>
      <c r="G26" s="25"/>
      <c r="H26" s="26"/>
      <c r="I26" s="27"/>
      <c r="J26" s="24"/>
      <c r="K26" s="28"/>
    </row>
    <row r="27" spans="2:11">
      <c r="B27" s="21"/>
      <c r="C27" s="30"/>
      <c r="D27" s="23"/>
      <c r="E27" s="24"/>
      <c r="F27" s="24"/>
      <c r="G27" s="25"/>
      <c r="H27" s="26"/>
      <c r="I27" s="27"/>
      <c r="J27" s="24"/>
      <c r="K27" s="28"/>
    </row>
    <row r="28" spans="2:11">
      <c r="B28" s="21"/>
      <c r="C28" s="30"/>
      <c r="D28" s="47" t="s">
        <v>25</v>
      </c>
      <c r="E28" s="47"/>
      <c r="F28" s="47"/>
      <c r="G28" s="42"/>
      <c r="H28" s="43"/>
      <c r="I28" s="89">
        <f>Hoja1!F63</f>
        <v>0</v>
      </c>
      <c r="J28" s="89"/>
      <c r="K28" s="28"/>
    </row>
    <row r="29" spans="2:11">
      <c r="B29" s="21"/>
      <c r="C29" s="30"/>
      <c r="D29" s="44"/>
      <c r="E29" s="45"/>
      <c r="F29" s="45"/>
      <c r="G29" s="42"/>
      <c r="H29" s="43"/>
      <c r="I29" s="46"/>
      <c r="J29" s="45"/>
      <c r="K29" s="28"/>
    </row>
    <row r="30" spans="2:11">
      <c r="B30" s="21"/>
      <c r="C30" s="30"/>
      <c r="D30" s="44"/>
      <c r="E30" s="45"/>
      <c r="F30" s="45"/>
      <c r="G30" s="42"/>
      <c r="H30" s="43"/>
      <c r="I30" s="46"/>
      <c r="J30" s="45"/>
      <c r="K30" s="28"/>
    </row>
    <row r="31" spans="2:11">
      <c r="B31" s="21"/>
      <c r="C31" s="30"/>
      <c r="D31" s="47" t="s">
        <v>26</v>
      </c>
      <c r="E31" s="47"/>
      <c r="F31" s="47"/>
      <c r="G31" s="42"/>
      <c r="H31" s="43"/>
      <c r="I31" s="89">
        <f>Hoja1!H63</f>
        <v>0</v>
      </c>
      <c r="J31" s="89"/>
      <c r="K31" s="28"/>
    </row>
    <row r="32" spans="2:11">
      <c r="B32" s="21"/>
      <c r="C32" s="30"/>
      <c r="D32" s="44"/>
      <c r="E32" s="45"/>
      <c r="F32" s="45"/>
      <c r="G32" s="42"/>
      <c r="H32" s="43"/>
      <c r="I32" s="46"/>
      <c r="J32" s="45"/>
      <c r="K32" s="28"/>
    </row>
    <row r="33" spans="2:11">
      <c r="B33" s="21"/>
      <c r="C33" s="30"/>
      <c r="D33" s="44"/>
      <c r="E33" s="45"/>
      <c r="F33" s="45"/>
      <c r="G33" s="42"/>
      <c r="H33" s="43"/>
      <c r="I33" s="46"/>
      <c r="J33" s="45"/>
      <c r="K33" s="28"/>
    </row>
    <row r="34" spans="2:11">
      <c r="B34" s="21"/>
      <c r="C34" s="30"/>
      <c r="D34" s="47" t="s">
        <v>27</v>
      </c>
      <c r="E34" s="47"/>
      <c r="F34" s="47"/>
      <c r="G34" s="42"/>
      <c r="H34" s="43"/>
      <c r="I34" s="89">
        <f>Hoja1!K63</f>
        <v>0</v>
      </c>
      <c r="J34" s="89"/>
      <c r="K34" s="28"/>
    </row>
    <row r="35" spans="2:11">
      <c r="B35" s="21"/>
      <c r="C35" s="30"/>
      <c r="D35" s="44"/>
      <c r="E35" s="45"/>
      <c r="F35" s="45"/>
      <c r="G35" s="42"/>
      <c r="H35" s="43"/>
      <c r="I35" s="46"/>
      <c r="J35" s="45"/>
      <c r="K35" s="28"/>
    </row>
    <row r="36" spans="2:11">
      <c r="B36" s="21"/>
      <c r="C36" s="30"/>
      <c r="D36" s="44"/>
      <c r="E36" s="45"/>
      <c r="F36" s="45"/>
      <c r="G36" s="42"/>
      <c r="H36" s="43"/>
      <c r="I36" s="46"/>
      <c r="J36" s="45"/>
      <c r="K36" s="28"/>
    </row>
    <row r="37" spans="2:11">
      <c r="B37" s="21"/>
      <c r="C37" s="30"/>
      <c r="D37" s="47" t="s">
        <v>28</v>
      </c>
      <c r="E37" s="47"/>
      <c r="F37" s="47"/>
      <c r="G37" s="42"/>
      <c r="H37" s="43"/>
      <c r="I37" s="89">
        <f>J5</f>
        <v>0</v>
      </c>
      <c r="J37" s="89"/>
      <c r="K37" s="28"/>
    </row>
    <row r="38" spans="2:11">
      <c r="B38" s="21"/>
      <c r="C38" s="30"/>
      <c r="D38" s="44"/>
      <c r="E38" s="45"/>
      <c r="F38" s="45"/>
      <c r="G38" s="42"/>
      <c r="H38" s="43"/>
      <c r="I38" s="46"/>
      <c r="J38" s="45"/>
      <c r="K38" s="28"/>
    </row>
    <row r="39" spans="2:11">
      <c r="B39" s="21"/>
      <c r="C39" s="30"/>
      <c r="D39" s="23"/>
      <c r="E39" s="24"/>
      <c r="F39" s="24"/>
      <c r="G39" s="25"/>
      <c r="H39" s="26"/>
      <c r="I39" s="27"/>
      <c r="J39" s="24"/>
      <c r="K39" s="28"/>
    </row>
    <row r="40" spans="2:11" ht="18">
      <c r="B40" s="21"/>
      <c r="C40" s="30"/>
      <c r="D40" s="48" t="s">
        <v>29</v>
      </c>
      <c r="E40" s="48"/>
      <c r="F40" s="48"/>
      <c r="G40" s="50"/>
      <c r="H40" s="51"/>
      <c r="I40" s="88">
        <f>SUM(I28,I31,I34,I37)</f>
        <v>0</v>
      </c>
      <c r="J40" s="88"/>
      <c r="K40" s="28"/>
    </row>
    <row r="41" spans="2:11">
      <c r="B41" s="21"/>
      <c r="C41" s="30"/>
      <c r="D41" s="23"/>
      <c r="E41" s="24"/>
      <c r="F41" s="24"/>
      <c r="G41" s="25"/>
      <c r="H41" s="26"/>
      <c r="I41" s="27"/>
      <c r="J41" s="24"/>
      <c r="K41" s="28"/>
    </row>
    <row r="42" spans="2:11">
      <c r="B42" s="21"/>
      <c r="C42" s="30"/>
      <c r="D42" s="23"/>
      <c r="E42" s="24"/>
      <c r="F42" s="24"/>
      <c r="G42" s="25"/>
      <c r="H42" s="26"/>
      <c r="I42" s="27"/>
      <c r="J42" s="24"/>
      <c r="K42" s="28"/>
    </row>
    <row r="43" spans="2:11">
      <c r="B43" s="21"/>
      <c r="C43" s="30"/>
      <c r="D43" s="23"/>
      <c r="E43" s="24"/>
      <c r="F43" s="24"/>
      <c r="G43" s="25"/>
      <c r="H43" s="26"/>
      <c r="I43" s="27"/>
      <c r="J43" s="24"/>
      <c r="K43" s="28"/>
    </row>
    <row r="44" spans="2:11" ht="18">
      <c r="B44" s="21"/>
      <c r="C44" s="30"/>
      <c r="D44" s="48" t="s">
        <v>30</v>
      </c>
      <c r="E44" s="48"/>
      <c r="F44" s="48"/>
      <c r="G44" s="50"/>
      <c r="H44" s="51"/>
      <c r="I44" s="88">
        <f>I24-I40</f>
        <v>0</v>
      </c>
      <c r="J44" s="88"/>
      <c r="K44" s="28"/>
    </row>
    <row r="45" spans="2:11">
      <c r="B45" s="21"/>
      <c r="C45" s="30"/>
      <c r="D45" s="23"/>
      <c r="E45" s="24"/>
      <c r="F45" s="24"/>
      <c r="G45" s="25"/>
      <c r="H45" s="26"/>
      <c r="I45" s="27"/>
      <c r="J45" s="24"/>
      <c r="K45" s="28"/>
    </row>
    <row r="46" spans="2:11">
      <c r="B46" s="21"/>
      <c r="C46" s="30"/>
      <c r="D46" s="23"/>
      <c r="E46" s="24"/>
      <c r="F46" s="24"/>
      <c r="G46" s="25"/>
      <c r="H46" s="26"/>
      <c r="I46" s="27"/>
      <c r="J46" s="24"/>
      <c r="K46" s="28"/>
    </row>
    <row r="47" spans="2:11">
      <c r="B47" s="21"/>
      <c r="C47" s="30"/>
      <c r="D47" s="23"/>
      <c r="E47" s="24"/>
      <c r="F47" s="24"/>
      <c r="G47" s="25"/>
      <c r="H47" s="26"/>
      <c r="I47" s="27"/>
      <c r="J47" s="24"/>
      <c r="K47" s="28"/>
    </row>
    <row r="48" spans="2:11" ht="18">
      <c r="B48" s="21"/>
      <c r="C48" s="30"/>
      <c r="D48" s="48" t="s">
        <v>31</v>
      </c>
      <c r="E48" s="48"/>
      <c r="F48" s="48"/>
      <c r="G48" s="50"/>
      <c r="H48" s="51"/>
      <c r="I48" s="88"/>
      <c r="J48" s="88"/>
      <c r="K48" s="28"/>
    </row>
    <row r="49" spans="2:11">
      <c r="B49" s="21"/>
      <c r="C49" s="30"/>
      <c r="D49" s="23"/>
      <c r="E49" s="24"/>
      <c r="F49" s="24"/>
      <c r="G49" s="25"/>
      <c r="H49" s="26"/>
      <c r="I49" s="27"/>
      <c r="J49" s="24"/>
      <c r="K49" s="28"/>
    </row>
    <row r="50" spans="2:11">
      <c r="B50" s="21"/>
      <c r="C50" s="30"/>
      <c r="D50" s="23"/>
      <c r="E50" s="24"/>
      <c r="F50" s="24"/>
      <c r="G50" s="25"/>
      <c r="H50" s="26"/>
      <c r="I50" s="27"/>
      <c r="J50" s="24"/>
      <c r="K50" s="28"/>
    </row>
    <row r="51" spans="2:11">
      <c r="B51" s="21"/>
      <c r="C51" s="30"/>
      <c r="D51" s="23"/>
      <c r="E51" s="24"/>
      <c r="F51" s="24"/>
      <c r="G51" s="25"/>
      <c r="H51" s="26"/>
      <c r="I51" s="27"/>
      <c r="J51" s="24"/>
      <c r="K51" s="28"/>
    </row>
    <row r="52" spans="2:11" ht="18">
      <c r="B52" s="21"/>
      <c r="C52" s="30"/>
      <c r="D52" s="48" t="s">
        <v>32</v>
      </c>
      <c r="E52" s="48"/>
      <c r="F52" s="48"/>
      <c r="G52" s="50"/>
      <c r="H52" s="51"/>
      <c r="I52" s="88">
        <f>I44+I48</f>
        <v>0</v>
      </c>
      <c r="J52" s="88"/>
      <c r="K52" s="28"/>
    </row>
    <row r="53" spans="2:11">
      <c r="B53" s="21"/>
      <c r="C53" s="30"/>
      <c r="D53" s="23"/>
      <c r="E53" s="24"/>
      <c r="F53" s="24"/>
      <c r="G53" s="25"/>
      <c r="H53" s="26"/>
      <c r="I53" s="27"/>
      <c r="J53" s="24"/>
      <c r="K53" s="28"/>
    </row>
    <row r="54" spans="2:11">
      <c r="B54" s="21"/>
      <c r="C54" s="30"/>
      <c r="D54" s="23"/>
      <c r="E54" s="24"/>
      <c r="F54" s="24"/>
      <c r="G54" s="25"/>
      <c r="H54" s="26"/>
      <c r="I54" s="27"/>
      <c r="J54" s="24"/>
      <c r="K54" s="28"/>
    </row>
    <row r="55" spans="2:11">
      <c r="B55" s="21"/>
      <c r="C55" s="30"/>
      <c r="D55" s="23"/>
      <c r="E55" s="24"/>
      <c r="F55" s="24"/>
      <c r="G55" s="25"/>
      <c r="H55" s="26"/>
      <c r="I55" s="27"/>
      <c r="J55" s="24"/>
      <c r="K55" s="28"/>
    </row>
    <row r="56" spans="2:11">
      <c r="B56" s="21"/>
      <c r="C56" s="30"/>
      <c r="D56" s="23"/>
      <c r="E56" s="24"/>
      <c r="F56" s="24"/>
      <c r="G56" s="25"/>
      <c r="H56" s="26"/>
      <c r="I56" s="27"/>
      <c r="J56" s="24"/>
      <c r="K56" s="28"/>
    </row>
    <row r="57" spans="2:11">
      <c r="B57" s="21"/>
      <c r="C57" s="30"/>
      <c r="D57" s="23"/>
      <c r="E57" s="24"/>
      <c r="F57" s="24"/>
      <c r="G57" s="25"/>
      <c r="H57" s="26"/>
      <c r="I57" s="27"/>
      <c r="J57" s="24"/>
      <c r="K57" s="28"/>
    </row>
    <row r="58" spans="2:11">
      <c r="B58" s="21"/>
      <c r="C58" s="30"/>
      <c r="D58" s="23"/>
      <c r="E58" s="24"/>
      <c r="F58" s="24"/>
      <c r="G58" s="25"/>
      <c r="H58" s="26"/>
      <c r="I58" s="27"/>
      <c r="J58" s="24"/>
      <c r="K58" s="28"/>
    </row>
    <row r="59" spans="2:11">
      <c r="B59" s="21"/>
      <c r="C59" s="30"/>
      <c r="D59" s="23"/>
      <c r="E59" s="24"/>
      <c r="F59" s="24"/>
      <c r="G59" s="25"/>
      <c r="H59" s="26"/>
      <c r="I59" s="27"/>
      <c r="J59" s="24"/>
      <c r="K59" s="28"/>
    </row>
    <row r="60" spans="2:11">
      <c r="B60" s="21"/>
      <c r="C60" s="22"/>
      <c r="D60" s="23"/>
      <c r="E60" s="24"/>
      <c r="F60" s="24"/>
      <c r="G60" s="25"/>
      <c r="H60" s="26"/>
      <c r="I60" s="27"/>
      <c r="J60" s="24"/>
      <c r="K60" s="28"/>
    </row>
    <row r="61" spans="2:11">
      <c r="B61" s="21"/>
      <c r="C61" s="22"/>
      <c r="D61" s="23"/>
      <c r="E61" s="24"/>
      <c r="F61" s="24"/>
      <c r="G61" s="25"/>
      <c r="H61" s="26"/>
      <c r="I61" s="27"/>
      <c r="J61" s="24"/>
      <c r="K61" s="28"/>
    </row>
    <row r="62" spans="2:11">
      <c r="B62" s="21"/>
      <c r="C62" s="22"/>
      <c r="D62" s="23"/>
      <c r="E62" s="24"/>
      <c r="F62" s="24"/>
      <c r="G62" s="25"/>
      <c r="H62" s="26"/>
      <c r="I62" s="27"/>
      <c r="J62" s="24"/>
      <c r="K62" s="28"/>
    </row>
    <row r="63" spans="2:11">
      <c r="B63" s="21"/>
      <c r="C63" s="22"/>
      <c r="D63" s="23"/>
      <c r="E63" s="24"/>
      <c r="F63" s="24"/>
      <c r="G63" s="25"/>
      <c r="H63" s="26"/>
      <c r="I63" s="27"/>
      <c r="J63" s="24"/>
      <c r="K63" s="28"/>
    </row>
    <row r="64" spans="2:11">
      <c r="B64" s="4"/>
      <c r="C64" s="5"/>
      <c r="D64" s="38"/>
      <c r="E64" s="38"/>
      <c r="F64" s="38"/>
      <c r="G64" s="38"/>
      <c r="H64" s="38"/>
      <c r="I64" s="38"/>
      <c r="J64" s="38"/>
      <c r="K64" s="7"/>
    </row>
    <row r="65" spans="2:11">
      <c r="B65" s="4"/>
      <c r="C65" s="5"/>
      <c r="D65" s="38"/>
      <c r="E65" s="38"/>
      <c r="F65" s="38"/>
      <c r="G65" s="38"/>
      <c r="H65" s="38"/>
      <c r="I65" s="38"/>
      <c r="J65" s="38"/>
      <c r="K65" s="7"/>
    </row>
    <row r="66" spans="2:11">
      <c r="B66" s="4"/>
      <c r="C66" s="5"/>
      <c r="D66" s="38"/>
      <c r="E66" s="38"/>
      <c r="F66" s="38"/>
      <c r="G66" s="38"/>
      <c r="H66" s="38"/>
      <c r="I66" s="38"/>
      <c r="J66" s="38"/>
      <c r="K66" s="7"/>
    </row>
    <row r="67" spans="2:11" ht="15.75" thickBot="1">
      <c r="B67" s="8"/>
      <c r="C67" s="9"/>
      <c r="D67" s="39"/>
      <c r="E67" s="39"/>
      <c r="F67" s="39"/>
      <c r="G67" s="38"/>
      <c r="H67" s="38"/>
      <c r="I67" s="38"/>
      <c r="J67" s="38"/>
      <c r="K67" s="7"/>
    </row>
    <row r="68" spans="2:11" ht="15.75" thickBot="1">
      <c r="B68" s="54" t="s">
        <v>21</v>
      </c>
      <c r="C68" s="55"/>
      <c r="D68" s="55"/>
      <c r="E68" s="55"/>
      <c r="F68" s="55"/>
      <c r="G68" s="39"/>
      <c r="H68" s="39"/>
      <c r="I68" s="39"/>
      <c r="J68" s="39"/>
      <c r="K68" s="11"/>
    </row>
  </sheetData>
  <protectedRanges>
    <protectedRange password="CFFB" sqref="G15:G62" name="Rango15_1_1"/>
    <protectedRange password="CFFB" sqref="B5" name="Rango1_1_1"/>
    <protectedRange password="CFFB" sqref="F5" name="Rango2_1_1"/>
    <protectedRange password="CFFB" sqref="B7" name="Rango3_1_1"/>
    <protectedRange password="CFFB" sqref="J5" name="Rango4_1_1"/>
    <protectedRange password="CFFB" sqref="C13:C62" name="Rango5_1_1"/>
    <protectedRange password="CFFB" sqref="D15:F53 D54:F62" name="Rango6_1_1"/>
    <protectedRange password="CFFB" sqref="K13:K62" name="Rango7_1_1"/>
  </protectedRanges>
  <mergeCells count="29">
    <mergeCell ref="I37:J37"/>
    <mergeCell ref="I40:J40"/>
    <mergeCell ref="I44:J44"/>
    <mergeCell ref="B68:F68"/>
    <mergeCell ref="I15:J15"/>
    <mergeCell ref="D15:F15"/>
    <mergeCell ref="J6:K6"/>
    <mergeCell ref="B7:G7"/>
    <mergeCell ref="I7:K7"/>
    <mergeCell ref="B8:G8"/>
    <mergeCell ref="I8:K8"/>
    <mergeCell ref="I48:J48"/>
    <mergeCell ref="I52:J52"/>
    <mergeCell ref="I21:J21"/>
    <mergeCell ref="I18:J18"/>
    <mergeCell ref="I24:J24"/>
    <mergeCell ref="I28:J28"/>
    <mergeCell ref="I31:J31"/>
    <mergeCell ref="I34:J34"/>
    <mergeCell ref="D1:J1"/>
    <mergeCell ref="D2:J2"/>
    <mergeCell ref="D3:J3"/>
    <mergeCell ref="B5:C5"/>
    <mergeCell ref="D5:E6"/>
    <mergeCell ref="F5:H5"/>
    <mergeCell ref="I5:I6"/>
    <mergeCell ref="J5:K5"/>
    <mergeCell ref="B6:C6"/>
    <mergeCell ref="F6:H6"/>
  </mergeCells>
  <pageMargins left="0.7" right="0.7" top="0.75" bottom="0.75" header="0.3" footer="0.3"/>
  <pageSetup scale="68" orientation="portrait" horizontalDpi="4294967294" verticalDpi="429496729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 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Eder Carmona Armijo</dc:creator>
  <cp:lastModifiedBy>Eder Carmona Armijo</cp:lastModifiedBy>
  <cp:lastPrinted>2016-12-28T17:19:31Z</cp:lastPrinted>
  <dcterms:created xsi:type="dcterms:W3CDTF">2016-11-16T17:46:09Z</dcterms:created>
  <dcterms:modified xsi:type="dcterms:W3CDTF">2016-12-28T17:34:38Z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462a0a0e-c68e-4b53-99ae-02c1eb5a25d2</vt:lpwstr>
  </property>
</Properties>
</file>