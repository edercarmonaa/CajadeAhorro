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ahorro\templates\"/>
    </mc:Choice>
  </mc:AlternateContent>
  <bookViews>
    <workbookView xWindow="0" yWindow="0" windowWidth="20490" windowHeight="7755"/>
  </bookViews>
  <sheets>
    <sheet name="CONCENTRADO ANUAL" sheetId="1" r:id="rId1"/>
  </sheets>
  <definedNames>
    <definedName name="_xlnm.Print_Area" localSheetId="0">'CONCENTRADO ANUAL'!$Q$1:$Y$6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1" l="1"/>
  <c r="G4" i="1"/>
  <c r="L4" i="1"/>
  <c r="Q3" i="1"/>
  <c r="K4" i="1"/>
  <c r="D4" i="1"/>
  <c r="H3" i="1" l="1"/>
  <c r="I3" i="1" s="1"/>
  <c r="M3" i="1"/>
  <c r="V3" i="1" s="1"/>
  <c r="E4" i="1"/>
  <c r="F4" i="1"/>
  <c r="J3" i="1"/>
  <c r="T3" i="1"/>
  <c r="N3" i="1" l="1"/>
  <c r="O3" i="1"/>
  <c r="U3" i="1" s="1"/>
  <c r="X3" i="1"/>
  <c r="W3" i="1"/>
  <c r="Y3" i="1"/>
  <c r="M4" i="1"/>
  <c r="J4" i="1"/>
  <c r="I4" i="1"/>
  <c r="H4" i="1"/>
  <c r="N4" i="1"/>
  <c r="O4" i="1" l="1"/>
  <c r="Y4" i="1"/>
  <c r="V4" i="1"/>
  <c r="U4" i="1" l="1"/>
  <c r="T4" i="1"/>
  <c r="X4" i="1" l="1"/>
  <c r="W4" i="1"/>
</calcChain>
</file>

<file path=xl/sharedStrings.xml><?xml version="1.0" encoding="utf-8"?>
<sst xmlns="http://schemas.openxmlformats.org/spreadsheetml/2006/main" count="66" uniqueCount="30">
  <si>
    <t>DEUDORES</t>
  </si>
  <si>
    <t>A FAVOR</t>
  </si>
  <si>
    <t>FINAL</t>
  </si>
  <si>
    <t>A SALDOS A FAVOR</t>
  </si>
  <si>
    <t>REPARTIR DE INTERÉS</t>
  </si>
  <si>
    <t>FAVOR</t>
  </si>
  <si>
    <t>CARGO</t>
  </si>
  <si>
    <t>DE INTERÉS</t>
  </si>
  <si>
    <t>ACCIÓN</t>
  </si>
  <si>
    <t>ADEUDO FINAL</t>
  </si>
  <si>
    <t>TOTAL FINAL</t>
  </si>
  <si>
    <t>ADEUDO</t>
  </si>
  <si>
    <t>SALDO</t>
  </si>
  <si>
    <t>INTERÉS P/ENTREGAR</t>
  </si>
  <si>
    <t>IMPORTE A</t>
  </si>
  <si>
    <t>SALDO A</t>
  </si>
  <si>
    <t>RECIBOS</t>
  </si>
  <si>
    <t>INTERÉS</t>
  </si>
  <si>
    <t>SALDO ANTES</t>
  </si>
  <si>
    <t>PRÉSTAMOS</t>
  </si>
  <si>
    <t>ABONO</t>
  </si>
  <si>
    <t>AHORRO</t>
  </si>
  <si>
    <t xml:space="preserve">VALOR DE </t>
  </si>
  <si>
    <t>TOTALES</t>
  </si>
  <si>
    <t>DESDE AQUÍ</t>
  </si>
  <si>
    <t>%</t>
  </si>
  <si>
    <t>Núm</t>
  </si>
  <si>
    <t>NOMBRE</t>
  </si>
  <si>
    <t>NÚMERO</t>
  </si>
  <si>
    <t>NOMBRE DEL TRABAJADOR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</si>
</sst>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000000000_-;\-* #,##0.00000000000_-;_-* &quot;-&quot;??_-;_-@_-"/>
  </numFmts>
  <fonts count="8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30"/>
      <name val="Arial"/>
      <family val="2"/>
    </font>
    <font>
      <b/>
      <sz val="11"/>
      <name val="Arial"/>
      <family val="2"/>
    </font>
    <font>
      <sz val="8"/>
      <color indexed="12"/>
      <name val="Arial"/>
      <family val="2"/>
    </font>
    <font>
      <b/>
      <sz val="8"/>
      <color indexed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4">
    <xf numFmtId="0" fontId="0" fillId="0" borderId="0" xfId="0"/>
    <xf numFmtId="0" fontId="2" fillId="0" borderId="0" xfId="0" applyFont="1"/>
    <xf numFmtId="0" fontId="2" fillId="2" borderId="0" xfId="0" applyFont="1" applyFill="1"/>
    <xf numFmtId="43" fontId="2" fillId="2" borderId="0" xfId="0" applyNumberFormat="1" applyFont="1" applyFill="1"/>
    <xf numFmtId="0" fontId="2" fillId="2" borderId="0" xfId="0" applyFont="1" applyFill="1" applyAlignment="1">
      <alignment horizontal="center"/>
    </xf>
    <xf numFmtId="44" fontId="2" fillId="0" borderId="0" xfId="0" applyNumberFormat="1" applyFont="1"/>
    <xf numFmtId="0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4" fontId="2" fillId="2" borderId="0" xfId="0" applyNumberFormat="1" applyFont="1" applyFill="1"/>
    <xf numFmtId="0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4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/>
    </xf>
    <xf numFmtId="0" fontId="2" fillId="2" borderId="0" xfId="0" applyFont="1" applyFill="1" applyBorder="1"/>
    <xf numFmtId="164" fontId="2" fillId="2" borderId="0" xfId="1" applyNumberFormat="1" applyFont="1" applyFill="1" applyBorder="1"/>
    <xf numFmtId="43" fontId="2" fillId="2" borderId="0" xfId="0" applyNumberFormat="1" applyFont="1" applyFill="1" applyBorder="1"/>
    <xf numFmtId="0" fontId="2" fillId="2" borderId="0" xfId="0" applyFont="1" applyFill="1" applyBorder="1" applyAlignment="1">
      <alignment horizontal="center"/>
    </xf>
    <xf numFmtId="0" fontId="4" fillId="2" borderId="0" xfId="0" applyFont="1" applyFill="1" applyBorder="1"/>
    <xf numFmtId="43" fontId="4" fillId="2" borderId="0" xfId="0" applyNumberFormat="1" applyFont="1" applyFill="1" applyBorder="1" applyAlignment="1">
      <alignment horizontal="center"/>
    </xf>
    <xf numFmtId="43" fontId="2" fillId="2" borderId="0" xfId="0" applyNumberFormat="1" applyFont="1" applyFill="1" applyBorder="1" applyAlignment="1">
      <alignment horizontal="right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44" fontId="3" fillId="2" borderId="0" xfId="0" applyNumberFormat="1" applyFont="1" applyFill="1" applyBorder="1" applyAlignment="1">
      <alignment horizontal="center"/>
    </xf>
    <xf numFmtId="44" fontId="3" fillId="2" borderId="0" xfId="0" applyNumberFormat="1" applyFont="1" applyFill="1" applyBorder="1" applyAlignment="1">
      <alignment horizontal="center" vertical="center"/>
    </xf>
    <xf numFmtId="44" fontId="3" fillId="2" borderId="0" xfId="0" applyNumberFormat="1" applyFont="1" applyFill="1" applyBorder="1" applyAlignment="1">
      <alignment horizontal="center" vertical="center"/>
    </xf>
    <xf numFmtId="44" fontId="3" fillId="2" borderId="0" xfId="0" applyNumberFormat="1" applyFont="1" applyFill="1" applyBorder="1"/>
    <xf numFmtId="43" fontId="3" fillId="3" borderId="0" xfId="0" applyNumberFormat="1" applyFont="1" applyFill="1" applyAlignment="1">
      <alignment horizontal="center"/>
    </xf>
    <xf numFmtId="43" fontId="3" fillId="4" borderId="0" xfId="0" applyNumberFormat="1" applyFont="1" applyFill="1" applyBorder="1" applyAlignment="1">
      <alignment horizontal="center"/>
    </xf>
    <xf numFmtId="44" fontId="3" fillId="4" borderId="0" xfId="0" applyNumberFormat="1" applyFont="1" applyFill="1" applyBorder="1" applyAlignment="1">
      <alignment horizontal="center"/>
    </xf>
    <xf numFmtId="0" fontId="3" fillId="4" borderId="0" xfId="0" applyNumberFormat="1" applyFont="1" applyFill="1" applyBorder="1" applyAlignment="1">
      <alignment horizontal="center"/>
    </xf>
    <xf numFmtId="44" fontId="3" fillId="4" borderId="1" xfId="0" applyNumberFormat="1" applyFont="1" applyFill="1" applyBorder="1" applyAlignment="1">
      <alignment horizontal="center"/>
    </xf>
    <xf numFmtId="44" fontId="3" fillId="5" borderId="2" xfId="0" applyNumberFormat="1" applyFont="1" applyFill="1" applyBorder="1" applyAlignment="1">
      <alignment horizontal="center"/>
    </xf>
    <xf numFmtId="44" fontId="3" fillId="0" borderId="2" xfId="0" applyNumberFormat="1" applyFont="1" applyFill="1" applyBorder="1" applyAlignment="1">
      <alignment horizontal="center" vertical="center"/>
    </xf>
    <xf numFmtId="44" fontId="3" fillId="6" borderId="2" xfId="0" applyNumberFormat="1" applyFont="1" applyFill="1" applyBorder="1" applyAlignment="1">
      <alignment horizontal="center" vertical="center"/>
    </xf>
    <xf numFmtId="44" fontId="3" fillId="7" borderId="3" xfId="0" applyNumberFormat="1" applyFont="1" applyFill="1" applyBorder="1" applyAlignment="1">
      <alignment horizontal="center" vertical="center"/>
    </xf>
    <xf numFmtId="44" fontId="3" fillId="8" borderId="2" xfId="0" applyNumberFormat="1" applyFont="1" applyFill="1" applyBorder="1" applyAlignment="1">
      <alignment horizontal="center" vertical="center"/>
    </xf>
    <xf numFmtId="44" fontId="3" fillId="9" borderId="2" xfId="0" applyNumberFormat="1" applyFont="1" applyFill="1" applyBorder="1" applyAlignment="1">
      <alignment horizontal="center" vertical="center"/>
    </xf>
    <xf numFmtId="44" fontId="3" fillId="9" borderId="2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44" fontId="3" fillId="4" borderId="5" xfId="0" applyNumberFormat="1" applyFont="1" applyFill="1" applyBorder="1" applyAlignment="1">
      <alignment horizontal="center"/>
    </xf>
    <xf numFmtId="44" fontId="3" fillId="5" borderId="6" xfId="0" applyNumberFormat="1" applyFont="1" applyFill="1" applyBorder="1" applyAlignment="1">
      <alignment horizontal="center"/>
    </xf>
    <xf numFmtId="44" fontId="3" fillId="0" borderId="7" xfId="0" applyNumberFormat="1" applyFont="1" applyFill="1" applyBorder="1" applyAlignment="1">
      <alignment horizontal="center" vertical="center"/>
    </xf>
    <xf numFmtId="44" fontId="3" fillId="6" borderId="7" xfId="0" applyNumberFormat="1" applyFont="1" applyFill="1" applyBorder="1" applyAlignment="1">
      <alignment horizontal="center" vertical="center"/>
    </xf>
    <xf numFmtId="44" fontId="3" fillId="7" borderId="8" xfId="0" applyNumberFormat="1" applyFont="1" applyFill="1" applyBorder="1" applyAlignment="1">
      <alignment horizontal="center" vertical="center"/>
    </xf>
    <xf numFmtId="44" fontId="3" fillId="8" borderId="7" xfId="0" applyNumberFormat="1" applyFont="1" applyFill="1" applyBorder="1" applyAlignment="1">
      <alignment horizontal="center" vertical="center"/>
    </xf>
    <xf numFmtId="44" fontId="3" fillId="9" borderId="7" xfId="0" applyNumberFormat="1" applyFont="1" applyFill="1" applyBorder="1" applyAlignment="1">
      <alignment horizontal="center" vertical="center"/>
    </xf>
    <xf numFmtId="44" fontId="3" fillId="9" borderId="6" xfId="0" applyNumberFormat="1" applyFont="1" applyFill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43" fontId="3" fillId="10" borderId="10" xfId="0" applyNumberFormat="1" applyFont="1" applyFill="1" applyBorder="1"/>
    <xf numFmtId="44" fontId="3" fillId="4" borderId="0" xfId="0" applyNumberFormat="1" applyFont="1" applyFill="1" applyBorder="1"/>
    <xf numFmtId="44" fontId="3" fillId="11" borderId="11" xfId="0" applyNumberFormat="1" applyFont="1" applyFill="1" applyBorder="1"/>
    <xf numFmtId="0" fontId="5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43" fontId="3" fillId="2" borderId="11" xfId="0" applyNumberFormat="1" applyFont="1" applyFill="1" applyBorder="1"/>
    <xf numFmtId="44" fontId="3" fillId="0" borderId="0" xfId="0" applyNumberFormat="1" applyFont="1"/>
    <xf numFmtId="0" fontId="3" fillId="0" borderId="0" xfId="0" applyFont="1" applyFill="1"/>
    <xf numFmtId="0" fontId="2" fillId="0" borderId="0" xfId="0" applyFont="1" applyFill="1"/>
    <xf numFmtId="0" fontId="3" fillId="0" borderId="0" xfId="0" applyFont="1" applyFill="1" applyAlignment="1">
      <alignment horizontal="center"/>
    </xf>
    <xf numFmtId="0" fontId="2" fillId="9" borderId="0" xfId="0" applyFont="1" applyFill="1"/>
    <xf numFmtId="0" fontId="6" fillId="0" borderId="0" xfId="0" applyFont="1"/>
    <xf numFmtId="0" fontId="6" fillId="2" borderId="0" xfId="0" applyFont="1" applyFill="1"/>
    <xf numFmtId="0" fontId="6" fillId="0" borderId="0" xfId="0" applyFont="1" applyFill="1"/>
    <xf numFmtId="0" fontId="2" fillId="12" borderId="0" xfId="0" applyFont="1" applyFill="1"/>
    <xf numFmtId="9" fontId="3" fillId="2" borderId="11" xfId="0" applyNumberFormat="1" applyFont="1" applyFill="1" applyBorder="1" applyAlignment="1">
      <alignment horizontal="center"/>
    </xf>
    <xf numFmtId="0" fontId="3" fillId="0" borderId="11" xfId="0" applyNumberFormat="1" applyFont="1" applyBorder="1" applyAlignment="1">
      <alignment horizontal="center"/>
    </xf>
    <xf numFmtId="44" fontId="3" fillId="0" borderId="11" xfId="0" applyNumberFormat="1" applyFont="1" applyBorder="1"/>
    <xf numFmtId="43" fontId="3" fillId="13" borderId="0" xfId="0" applyNumberFormat="1" applyFont="1" applyFill="1" applyAlignment="1">
      <alignment horizontal="center"/>
    </xf>
    <xf numFmtId="43" fontId="3" fillId="4" borderId="0" xfId="0" applyNumberFormat="1" applyFont="1" applyFill="1" applyAlignment="1">
      <alignment horizontal="center"/>
    </xf>
    <xf numFmtId="43" fontId="3" fillId="14" borderId="0" xfId="0" applyNumberFormat="1" applyFont="1" applyFill="1" applyAlignment="1">
      <alignment horizontal="center"/>
    </xf>
    <xf numFmtId="43" fontId="3" fillId="10" borderId="0" xfId="0" applyNumberFormat="1" applyFont="1" applyFill="1" applyAlignment="1">
      <alignment horizontal="center"/>
    </xf>
    <xf numFmtId="9" fontId="7" fillId="9" borderId="0" xfId="0" applyNumberFormat="1" applyFont="1" applyFill="1" applyAlignment="1">
      <alignment horizontal="center"/>
    </xf>
    <xf numFmtId="44" fontId="3" fillId="11" borderId="0" xfId="0" applyNumberFormat="1" applyFont="1" applyFill="1" applyBorder="1" applyAlignment="1">
      <alignment horizontal="center"/>
    </xf>
    <xf numFmtId="0" fontId="3" fillId="15" borderId="0" xfId="0" applyNumberFormat="1" applyFont="1" applyFill="1" applyBorder="1" applyAlignment="1">
      <alignment horizontal="center"/>
    </xf>
    <xf numFmtId="44" fontId="3" fillId="4" borderId="14" xfId="0" applyNumberFormat="1" applyFont="1" applyFill="1" applyBorder="1" applyAlignment="1">
      <alignment horizontal="center"/>
    </xf>
    <xf numFmtId="44" fontId="3" fillId="5" borderId="3" xfId="0" applyNumberFormat="1" applyFont="1" applyFill="1" applyBorder="1" applyAlignment="1">
      <alignment horizontal="center"/>
    </xf>
    <xf numFmtId="44" fontId="3" fillId="0" borderId="3" xfId="0" applyNumberFormat="1" applyFont="1" applyFill="1" applyBorder="1" applyAlignment="1">
      <alignment horizontal="center" vertical="center"/>
    </xf>
    <xf numFmtId="44" fontId="3" fillId="6" borderId="3" xfId="0" applyNumberFormat="1" applyFont="1" applyFill="1" applyBorder="1" applyAlignment="1">
      <alignment horizontal="center" vertical="center"/>
    </xf>
    <xf numFmtId="44" fontId="3" fillId="8" borderId="3" xfId="0" applyNumberFormat="1" applyFont="1" applyFill="1" applyBorder="1" applyAlignment="1">
      <alignment horizontal="center" vertical="center"/>
    </xf>
    <xf numFmtId="44" fontId="3" fillId="14" borderId="3" xfId="0" applyNumberFormat="1" applyFont="1" applyFill="1" applyBorder="1" applyAlignment="1">
      <alignment horizontal="center" vertical="center"/>
    </xf>
    <xf numFmtId="44" fontId="3" fillId="14" borderId="3" xfId="0" applyNumberFormat="1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 vertical="center"/>
    </xf>
    <xf numFmtId="0" fontId="3" fillId="16" borderId="15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44" fontId="3" fillId="4" borderId="16" xfId="0" applyNumberFormat="1" applyFont="1" applyFill="1" applyBorder="1" applyAlignment="1">
      <alignment horizontal="center"/>
    </xf>
    <xf numFmtId="44" fontId="3" fillId="5" borderId="8" xfId="0" applyNumberFormat="1" applyFont="1" applyFill="1" applyBorder="1" applyAlignment="1">
      <alignment horizontal="center"/>
    </xf>
    <xf numFmtId="44" fontId="3" fillId="0" borderId="8" xfId="0" applyNumberFormat="1" applyFont="1" applyFill="1" applyBorder="1" applyAlignment="1">
      <alignment horizontal="center" vertical="center"/>
    </xf>
    <xf numFmtId="44" fontId="3" fillId="6" borderId="8" xfId="0" applyNumberFormat="1" applyFont="1" applyFill="1" applyBorder="1" applyAlignment="1">
      <alignment horizontal="center" vertical="center"/>
    </xf>
    <xf numFmtId="44" fontId="3" fillId="8" borderId="8" xfId="0" applyNumberFormat="1" applyFont="1" applyFill="1" applyBorder="1" applyAlignment="1">
      <alignment horizontal="center" vertical="center"/>
    </xf>
    <xf numFmtId="44" fontId="3" fillId="14" borderId="8" xfId="0" applyNumberFormat="1" applyFont="1" applyFill="1" applyBorder="1" applyAlignment="1">
      <alignment horizontal="center" vertical="center"/>
    </xf>
    <xf numFmtId="44" fontId="3" fillId="14" borderId="8" xfId="0" applyNumberFormat="1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2">
    <dxf>
      <font>
        <strike val="0"/>
        <condense val="0"/>
        <extend val="0"/>
        <color indexed="9"/>
      </font>
    </dxf>
    <dxf>
      <font>
        <strike val="0"/>
        <condense val="0"/>
        <extend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</sheetPr>
  <dimension ref="A1:AV661"/>
  <sheetViews>
    <sheetView tabSelected="1" zoomScale="115" zoomScaleNormal="115" zoomScaleSheetLayoutView="100" workbookViewId="0">
      <selection activeCell="B1" sqref="B1"/>
    </sheetView>
  </sheetViews>
  <sheetFormatPr baseColWidth="10" defaultRowHeight="11.25" x14ac:dyDescent="0.2"/>
  <cols>
    <col min="1" max="1" width="11.42578125" style="58" customWidth="1"/>
    <col min="2" max="2" width="8.5703125" style="7" customWidth="1"/>
    <col min="3" max="3" width="34.140625" style="1" customWidth="1"/>
    <col min="4" max="4" width="11.42578125" style="5" customWidth="1"/>
    <col min="5" max="5" width="12.85546875" style="5" customWidth="1"/>
    <col min="6" max="6" width="11.42578125" style="5" customWidth="1"/>
    <col min="7" max="7" width="17" style="5" customWidth="1"/>
    <col min="8" max="9" width="11.42578125" style="5" customWidth="1"/>
    <col min="10" max="10" width="14.5703125" style="5" customWidth="1"/>
    <col min="11" max="11" width="14.140625" style="5" customWidth="1"/>
    <col min="12" max="12" width="12.7109375" style="5" customWidth="1"/>
    <col min="13" max="14" width="11.42578125" style="5" customWidth="1"/>
    <col min="15" max="15" width="12.85546875" style="5" customWidth="1"/>
    <col min="16" max="16" width="11.42578125" style="2"/>
    <col min="17" max="17" width="12.7109375" style="6" customWidth="1"/>
    <col min="18" max="18" width="31.7109375" style="5" customWidth="1"/>
    <col min="19" max="19" width="13.7109375" style="4" customWidth="1"/>
    <col min="20" max="21" width="20.7109375" style="3" customWidth="1"/>
    <col min="22" max="25" width="15.7109375" style="3" customWidth="1"/>
    <col min="26" max="48" width="11.42578125" style="2"/>
    <col min="49" max="16384" width="11.42578125" style="1"/>
  </cols>
  <sheetData>
    <row r="1" spans="1:34" ht="12.75" customHeight="1" x14ac:dyDescent="0.25">
      <c r="B1" s="93"/>
      <c r="C1" s="92" t="s">
        <v>29</v>
      </c>
      <c r="D1" s="91" t="s">
        <v>22</v>
      </c>
      <c r="E1" s="90" t="s">
        <v>21</v>
      </c>
      <c r="F1" s="90" t="s">
        <v>20</v>
      </c>
      <c r="G1" s="89" t="s">
        <v>19</v>
      </c>
      <c r="H1" s="44" t="s">
        <v>18</v>
      </c>
      <c r="I1" s="44" t="s">
        <v>15</v>
      </c>
      <c r="J1" s="44" t="s">
        <v>15</v>
      </c>
      <c r="K1" s="88" t="s">
        <v>17</v>
      </c>
      <c r="L1" s="88" t="s">
        <v>16</v>
      </c>
      <c r="M1" s="87" t="s">
        <v>12</v>
      </c>
      <c r="N1" s="86" t="s">
        <v>15</v>
      </c>
      <c r="O1" s="85" t="s">
        <v>15</v>
      </c>
      <c r="Q1" s="74" t="s">
        <v>28</v>
      </c>
      <c r="R1" s="73" t="s">
        <v>27</v>
      </c>
      <c r="S1" s="84" t="s">
        <v>17</v>
      </c>
      <c r="T1" s="71" t="s">
        <v>14</v>
      </c>
      <c r="U1" s="71" t="s">
        <v>13</v>
      </c>
      <c r="V1" s="70" t="s">
        <v>12</v>
      </c>
      <c r="W1" s="68" t="s">
        <v>11</v>
      </c>
      <c r="X1" s="69" t="s">
        <v>10</v>
      </c>
      <c r="Y1" s="68" t="s">
        <v>9</v>
      </c>
    </row>
    <row r="2" spans="1:34" ht="12" thickBot="1" x14ac:dyDescent="0.25">
      <c r="B2" s="83" t="s">
        <v>26</v>
      </c>
      <c r="C2" s="82"/>
      <c r="D2" s="81" t="s">
        <v>8</v>
      </c>
      <c r="E2" s="80"/>
      <c r="F2" s="80"/>
      <c r="G2" s="79"/>
      <c r="H2" s="34" t="s">
        <v>7</v>
      </c>
      <c r="I2" s="34" t="s">
        <v>6</v>
      </c>
      <c r="J2" s="34" t="s">
        <v>5</v>
      </c>
      <c r="K2" s="78"/>
      <c r="L2" s="78"/>
      <c r="M2" s="77"/>
      <c r="N2" s="76" t="s">
        <v>6</v>
      </c>
      <c r="O2" s="75" t="s">
        <v>5</v>
      </c>
      <c r="Q2" s="74"/>
      <c r="R2" s="73"/>
      <c r="S2" s="72" t="s">
        <v>25</v>
      </c>
      <c r="T2" s="71" t="s">
        <v>4</v>
      </c>
      <c r="U2" s="71" t="s">
        <v>3</v>
      </c>
      <c r="V2" s="70"/>
      <c r="W2" s="68" t="s">
        <v>2</v>
      </c>
      <c r="X2" s="69" t="s">
        <v>1</v>
      </c>
      <c r="Y2" s="68" t="s">
        <v>0</v>
      </c>
    </row>
    <row r="3" spans="1:34" ht="12" thickBot="1" x14ac:dyDescent="0.25">
      <c r="B3" s="59"/>
      <c r="C3" s="57"/>
      <c r="D3" s="56"/>
      <c r="E3" s="56"/>
      <c r="F3" s="56"/>
      <c r="G3" s="56"/>
      <c r="H3" s="56">
        <f>D3+E3-G3+F3</f>
        <v>0</v>
      </c>
      <c r="I3" s="56">
        <f>IF(H3&lt;0,H3,0)</f>
        <v>0</v>
      </c>
      <c r="J3" s="56">
        <f>IF(H3&gt;=0,H3,0)</f>
        <v>0</v>
      </c>
      <c r="K3" s="56"/>
      <c r="L3" s="56"/>
      <c r="M3" s="56">
        <f>E3+F3-G3-K3-L3</f>
        <v>0</v>
      </c>
      <c r="N3" s="56">
        <f>IF(M3&lt;0,M3,0)</f>
        <v>0</v>
      </c>
      <c r="O3" s="56">
        <f>IF(M3&gt;=0,M3,0)</f>
        <v>0</v>
      </c>
      <c r="Q3" s="66">
        <f>B3</f>
        <v>0</v>
      </c>
      <c r="R3" s="67">
        <f>C3</f>
        <v>0</v>
      </c>
      <c r="S3" s="65"/>
      <c r="T3" s="55">
        <f>(D3+E3)*S3</f>
        <v>0</v>
      </c>
      <c r="U3" s="55">
        <f>IF(O3&lt;1,0,T3)</f>
        <v>0</v>
      </c>
      <c r="V3" s="55">
        <f>M3</f>
        <v>0</v>
      </c>
      <c r="W3" s="55">
        <f>IF((T3+V3)&gt;0,0,(T3+V3))</f>
        <v>0</v>
      </c>
      <c r="X3" s="55">
        <f>IF((T3+V3)&lt;0,0,(T3+V3))</f>
        <v>0</v>
      </c>
      <c r="Y3" s="55">
        <f>IF(V3&lt;1,N3,0)</f>
        <v>0</v>
      </c>
    </row>
    <row r="4" spans="1:34" ht="12" thickBot="1" x14ac:dyDescent="0.25">
      <c r="B4" s="54"/>
      <c r="C4" s="53" t="s">
        <v>23</v>
      </c>
      <c r="D4" s="52">
        <f>SUM(D3:D3)</f>
        <v>0</v>
      </c>
      <c r="E4" s="52">
        <f>SUM(E3:E3)</f>
        <v>0</v>
      </c>
      <c r="F4" s="52">
        <f>SUM(F3:F3)</f>
        <v>0</v>
      </c>
      <c r="G4" s="52">
        <f>SUM(G3:G3)</f>
        <v>0</v>
      </c>
      <c r="H4" s="52">
        <f>SUM(H3:H3)</f>
        <v>0</v>
      </c>
      <c r="I4" s="52">
        <f>SUM(I3:I3)</f>
        <v>0</v>
      </c>
      <c r="J4" s="52">
        <f>SUM(J3:J3)</f>
        <v>0</v>
      </c>
      <c r="K4" s="52">
        <f>SUM(K3:K3)</f>
        <v>0</v>
      </c>
      <c r="L4" s="52">
        <f>SUM(L3:L3)</f>
        <v>0</v>
      </c>
      <c r="M4" s="52">
        <f>SUM(M3:M3)</f>
        <v>0</v>
      </c>
      <c r="N4" s="52">
        <f>SUM(N3:N3)</f>
        <v>0</v>
      </c>
      <c r="O4" s="52">
        <f>SUM(O3:O3)</f>
        <v>0</v>
      </c>
      <c r="P4" s="58"/>
      <c r="Q4" s="29"/>
      <c r="R4" s="51"/>
      <c r="S4" s="28"/>
      <c r="T4" s="50">
        <f>SUM(T3:T3)</f>
        <v>0</v>
      </c>
      <c r="U4" s="50">
        <f>SUM(U3:U3)</f>
        <v>0</v>
      </c>
      <c r="V4" s="50">
        <f>SUM(V3:V3)</f>
        <v>0</v>
      </c>
      <c r="W4" s="50">
        <f>SUM(W3:W3)</f>
        <v>0</v>
      </c>
      <c r="X4" s="50">
        <f>SUM(X3:X3)</f>
        <v>0</v>
      </c>
      <c r="Y4" s="50">
        <f>SUM(Y3:Y3)</f>
        <v>0</v>
      </c>
      <c r="Z4" s="58"/>
      <c r="AA4" s="58"/>
      <c r="AB4" s="58"/>
      <c r="AC4" s="58"/>
      <c r="AD4" s="58"/>
      <c r="AE4" s="58"/>
      <c r="AF4" s="58"/>
      <c r="AG4" s="58"/>
      <c r="AH4" s="58"/>
    </row>
    <row r="5" spans="1:34" s="60" customFormat="1" x14ac:dyDescent="0.2">
      <c r="A5" s="58"/>
      <c r="B5" s="49"/>
      <c r="C5" s="48"/>
      <c r="D5" s="47" t="s">
        <v>22</v>
      </c>
      <c r="E5" s="46" t="s">
        <v>21</v>
      </c>
      <c r="F5" s="46" t="s">
        <v>20</v>
      </c>
      <c r="G5" s="45" t="s">
        <v>19</v>
      </c>
      <c r="H5" s="44" t="s">
        <v>18</v>
      </c>
      <c r="I5" s="44" t="s">
        <v>15</v>
      </c>
      <c r="J5" s="44" t="s">
        <v>15</v>
      </c>
      <c r="K5" s="43" t="s">
        <v>17</v>
      </c>
      <c r="L5" s="43" t="s">
        <v>16</v>
      </c>
      <c r="M5" s="42" t="s">
        <v>12</v>
      </c>
      <c r="N5" s="41" t="s">
        <v>15</v>
      </c>
      <c r="O5" s="40" t="s">
        <v>15</v>
      </c>
      <c r="P5" s="58"/>
      <c r="Q5" s="29"/>
      <c r="R5" s="28"/>
      <c r="S5" s="28"/>
      <c r="T5" s="27" t="s">
        <v>14</v>
      </c>
      <c r="U5" s="26" t="s">
        <v>13</v>
      </c>
      <c r="V5" s="27" t="s">
        <v>12</v>
      </c>
      <c r="W5" s="27" t="s">
        <v>11</v>
      </c>
      <c r="X5" s="27" t="s">
        <v>10</v>
      </c>
      <c r="Y5" s="26" t="s">
        <v>9</v>
      </c>
      <c r="Z5" s="58"/>
      <c r="AA5" s="58"/>
      <c r="AB5" s="58"/>
      <c r="AC5" s="58"/>
      <c r="AD5" s="58"/>
      <c r="AE5" s="58"/>
      <c r="AF5" s="58"/>
      <c r="AG5" s="58"/>
      <c r="AH5" s="58"/>
    </row>
    <row r="6" spans="1:34" ht="12" thickBot="1" x14ac:dyDescent="0.25">
      <c r="B6" s="39"/>
      <c r="C6" s="38"/>
      <c r="D6" s="37" t="s">
        <v>8</v>
      </c>
      <c r="E6" s="36"/>
      <c r="F6" s="36"/>
      <c r="G6" s="35"/>
      <c r="H6" s="34" t="s">
        <v>7</v>
      </c>
      <c r="I6" s="34" t="s">
        <v>6</v>
      </c>
      <c r="J6" s="34" t="s">
        <v>5</v>
      </c>
      <c r="K6" s="33"/>
      <c r="L6" s="33"/>
      <c r="M6" s="32"/>
      <c r="N6" s="31" t="s">
        <v>6</v>
      </c>
      <c r="O6" s="30" t="s">
        <v>5</v>
      </c>
      <c r="P6" s="58"/>
      <c r="Q6" s="29"/>
      <c r="R6" s="28"/>
      <c r="S6" s="28"/>
      <c r="T6" s="27" t="s">
        <v>4</v>
      </c>
      <c r="U6" s="26" t="s">
        <v>3</v>
      </c>
      <c r="V6" s="27"/>
      <c r="W6" s="27" t="s">
        <v>2</v>
      </c>
      <c r="X6" s="27" t="s">
        <v>1</v>
      </c>
      <c r="Y6" s="26" t="s">
        <v>0</v>
      </c>
      <c r="Z6" s="58"/>
      <c r="AA6" s="58"/>
      <c r="AB6" s="58"/>
      <c r="AC6" s="58"/>
      <c r="AD6" s="58"/>
      <c r="AE6" s="58"/>
      <c r="AF6" s="58"/>
      <c r="AG6" s="58"/>
      <c r="AH6" s="58"/>
    </row>
    <row r="7" spans="1:34" x14ac:dyDescent="0.2">
      <c r="B7" s="10"/>
      <c r="C7" s="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58"/>
      <c r="Q7" s="9"/>
      <c r="R7" s="8"/>
      <c r="Z7" s="58"/>
      <c r="AA7" s="58"/>
      <c r="AB7" s="58"/>
      <c r="AC7" s="58"/>
      <c r="AD7" s="58"/>
      <c r="AE7" s="58"/>
      <c r="AF7" s="58"/>
      <c r="AG7" s="58"/>
      <c r="AH7" s="58"/>
    </row>
    <row r="8" spans="1:34" x14ac:dyDescent="0.2">
      <c r="B8" s="10"/>
      <c r="C8" s="2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58"/>
      <c r="Q8" s="12"/>
      <c r="R8" s="11"/>
      <c r="Z8" s="58"/>
      <c r="AA8" s="58"/>
      <c r="AB8" s="58"/>
      <c r="AC8" s="58"/>
      <c r="AD8" s="58"/>
      <c r="AE8" s="58"/>
      <c r="AF8" s="58"/>
      <c r="AG8" s="58"/>
      <c r="AH8" s="58"/>
    </row>
    <row r="9" spans="1:34" x14ac:dyDescent="0.2">
      <c r="B9" s="10"/>
      <c r="C9" s="2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58"/>
      <c r="Q9" s="12"/>
      <c r="R9" s="11"/>
      <c r="V9" s="19"/>
      <c r="W9" s="15"/>
      <c r="X9" s="15"/>
      <c r="Y9" s="15"/>
      <c r="Z9" s="58"/>
      <c r="AA9" s="58"/>
      <c r="AB9" s="58"/>
      <c r="AC9" s="58"/>
      <c r="AD9" s="58"/>
      <c r="AE9" s="58"/>
      <c r="AF9" s="58"/>
      <c r="AG9" s="58"/>
      <c r="AH9" s="58"/>
    </row>
    <row r="10" spans="1:34" s="60" customFormat="1" x14ac:dyDescent="0.2">
      <c r="A10" s="58"/>
      <c r="B10" s="10"/>
      <c r="C10" s="2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58"/>
      <c r="Q10" s="12"/>
      <c r="R10" s="11"/>
      <c r="S10" s="16"/>
      <c r="T10" s="15"/>
      <c r="U10" s="15"/>
      <c r="V10" s="15"/>
      <c r="W10" s="15"/>
      <c r="X10" s="15"/>
      <c r="Y10" s="15"/>
      <c r="Z10" s="58"/>
      <c r="AA10" s="58"/>
      <c r="AB10" s="58"/>
      <c r="AC10" s="58"/>
      <c r="AD10" s="58"/>
      <c r="AE10" s="58"/>
      <c r="AF10" s="58"/>
      <c r="AG10" s="58"/>
      <c r="AH10" s="58"/>
    </row>
    <row r="11" spans="1:34" x14ac:dyDescent="0.2">
      <c r="B11" s="10"/>
      <c r="C11" s="2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58"/>
      <c r="Q11" s="12"/>
      <c r="R11" s="11"/>
      <c r="S11" s="16"/>
      <c r="T11" s="15"/>
      <c r="U11" s="15"/>
      <c r="V11" s="15"/>
      <c r="W11" s="15"/>
      <c r="X11" s="15"/>
      <c r="Y11" s="15"/>
      <c r="Z11" s="58"/>
      <c r="AA11" s="58"/>
      <c r="AB11" s="58"/>
      <c r="AC11" s="58"/>
      <c r="AD11" s="58"/>
      <c r="AE11" s="58"/>
      <c r="AF11" s="58"/>
      <c r="AG11" s="58"/>
      <c r="AH11" s="58"/>
    </row>
    <row r="12" spans="1:34" x14ac:dyDescent="0.2">
      <c r="B12" s="10"/>
      <c r="C12" s="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58"/>
      <c r="Q12" s="12"/>
      <c r="R12" s="11"/>
      <c r="S12" s="16"/>
      <c r="T12" s="15"/>
      <c r="U12" s="15"/>
      <c r="V12" s="15"/>
      <c r="W12" s="13"/>
      <c r="X12" s="13"/>
      <c r="Y12" s="13"/>
      <c r="Z12" s="58"/>
      <c r="AA12" s="58"/>
      <c r="AB12" s="58"/>
      <c r="AC12" s="58"/>
      <c r="AD12" s="58"/>
      <c r="AE12" s="58"/>
      <c r="AF12" s="58"/>
      <c r="AG12" s="58"/>
      <c r="AH12" s="58"/>
    </row>
    <row r="13" spans="1:34" x14ac:dyDescent="0.2">
      <c r="B13" s="10"/>
      <c r="C13" s="2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58"/>
      <c r="Q13" s="12"/>
      <c r="R13" s="11"/>
      <c r="S13" s="16"/>
      <c r="T13" s="15"/>
      <c r="U13" s="15"/>
      <c r="V13" s="15"/>
      <c r="W13" s="15"/>
      <c r="X13" s="15"/>
      <c r="Y13" s="15"/>
      <c r="Z13" s="58"/>
      <c r="AA13" s="58"/>
      <c r="AB13" s="58"/>
      <c r="AC13" s="58"/>
      <c r="AD13" s="58"/>
      <c r="AE13" s="58"/>
      <c r="AF13" s="58"/>
      <c r="AG13" s="58"/>
      <c r="AH13" s="58"/>
    </row>
    <row r="14" spans="1:34" x14ac:dyDescent="0.2">
      <c r="B14" s="10"/>
      <c r="C14" s="2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58"/>
      <c r="Q14" s="12"/>
      <c r="R14" s="11"/>
      <c r="S14" s="16"/>
      <c r="T14" s="15"/>
      <c r="U14" s="15"/>
      <c r="V14" s="15"/>
      <c r="W14" s="15"/>
      <c r="X14" s="13"/>
      <c r="Y14" s="15"/>
      <c r="Z14" s="58"/>
      <c r="AA14" s="58"/>
      <c r="AB14" s="58"/>
      <c r="AC14" s="58"/>
      <c r="AD14" s="58"/>
      <c r="AE14" s="58"/>
      <c r="AF14" s="58"/>
      <c r="AG14" s="58"/>
      <c r="AH14" s="58"/>
    </row>
    <row r="15" spans="1:34" x14ac:dyDescent="0.2">
      <c r="B15" s="10"/>
      <c r="C15" s="2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58"/>
      <c r="Q15" s="12"/>
      <c r="R15" s="11"/>
      <c r="S15" s="16"/>
      <c r="T15" s="15"/>
      <c r="U15" s="15"/>
      <c r="V15" s="15"/>
      <c r="W15" s="15"/>
      <c r="X15" s="13"/>
      <c r="Y15" s="15"/>
      <c r="Z15" s="58"/>
      <c r="AA15" s="58"/>
      <c r="AB15" s="58"/>
      <c r="AC15" s="58"/>
      <c r="AD15" s="58"/>
      <c r="AE15" s="58"/>
      <c r="AF15" s="58"/>
      <c r="AG15" s="58"/>
      <c r="AH15" s="58"/>
    </row>
    <row r="16" spans="1:34" x14ac:dyDescent="0.2">
      <c r="B16" s="10"/>
      <c r="C16" s="2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58"/>
      <c r="Q16" s="12"/>
      <c r="R16" s="11"/>
      <c r="S16" s="16"/>
      <c r="T16" s="15"/>
      <c r="U16" s="15"/>
      <c r="V16" s="15"/>
      <c r="W16" s="15"/>
      <c r="X16" s="15"/>
      <c r="Y16" s="15"/>
      <c r="Z16" s="58"/>
      <c r="AA16" s="58"/>
      <c r="AB16" s="58"/>
      <c r="AC16" s="58"/>
      <c r="AD16" s="58"/>
      <c r="AE16" s="58"/>
      <c r="AF16" s="58"/>
      <c r="AG16" s="58"/>
      <c r="AH16" s="58"/>
    </row>
    <row r="17" spans="1:34" x14ac:dyDescent="0.2">
      <c r="B17" s="10"/>
      <c r="C17" s="2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58"/>
      <c r="Q17" s="12"/>
      <c r="R17" s="11"/>
      <c r="S17" s="16"/>
      <c r="T17" s="15"/>
      <c r="U17" s="15"/>
      <c r="V17" s="15"/>
      <c r="W17" s="15"/>
      <c r="X17" s="15"/>
      <c r="Y17" s="15"/>
      <c r="Z17" s="58"/>
      <c r="AA17" s="58"/>
      <c r="AB17" s="58"/>
      <c r="AC17" s="58"/>
      <c r="AD17" s="58"/>
      <c r="AE17" s="58"/>
      <c r="AF17" s="58"/>
      <c r="AG17" s="58"/>
      <c r="AH17" s="58"/>
    </row>
    <row r="18" spans="1:34" x14ac:dyDescent="0.2">
      <c r="B18" s="10"/>
      <c r="C18" s="2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58"/>
      <c r="Q18" s="12"/>
      <c r="R18" s="11"/>
      <c r="S18" s="16"/>
      <c r="T18" s="15"/>
      <c r="U18" s="15"/>
      <c r="V18" s="15"/>
      <c r="W18" s="15"/>
      <c r="X18" s="15"/>
      <c r="Y18" s="15"/>
      <c r="Z18" s="58"/>
      <c r="AA18" s="58"/>
      <c r="AB18" s="58"/>
      <c r="AC18" s="58"/>
      <c r="AD18" s="58"/>
      <c r="AE18" s="58"/>
      <c r="AF18" s="58"/>
      <c r="AG18" s="58"/>
      <c r="AH18" s="58"/>
    </row>
    <row r="19" spans="1:34" x14ac:dyDescent="0.2">
      <c r="B19" s="10"/>
      <c r="C19" s="2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58"/>
      <c r="Q19" s="12"/>
      <c r="R19" s="11"/>
      <c r="S19" s="16"/>
      <c r="T19" s="15"/>
      <c r="U19" s="15"/>
      <c r="V19" s="15"/>
      <c r="W19" s="15"/>
      <c r="X19" s="15"/>
      <c r="Y19" s="15"/>
      <c r="Z19" s="58"/>
      <c r="AA19" s="58"/>
      <c r="AB19" s="58"/>
      <c r="AC19" s="58"/>
      <c r="AD19" s="58"/>
      <c r="AE19" s="58"/>
      <c r="AF19" s="58"/>
      <c r="AG19" s="58"/>
      <c r="AH19" s="58"/>
    </row>
    <row r="20" spans="1:34" x14ac:dyDescent="0.2">
      <c r="B20" s="10"/>
      <c r="C20" s="2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58"/>
      <c r="Q20" s="12"/>
      <c r="R20" s="11"/>
      <c r="S20" s="16"/>
      <c r="T20" s="15"/>
      <c r="U20" s="15"/>
      <c r="V20" s="15"/>
      <c r="W20" s="15"/>
      <c r="X20" s="15"/>
      <c r="Y20" s="15"/>
      <c r="Z20" s="58"/>
      <c r="AA20" s="58"/>
      <c r="AB20" s="58"/>
      <c r="AC20" s="58"/>
      <c r="AD20" s="58"/>
      <c r="AE20" s="58"/>
      <c r="AF20" s="58"/>
      <c r="AG20" s="58"/>
      <c r="AH20" s="58"/>
    </row>
    <row r="21" spans="1:34" x14ac:dyDescent="0.2">
      <c r="B21" s="10"/>
      <c r="C21" s="2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58"/>
      <c r="Q21" s="12"/>
      <c r="R21" s="11"/>
      <c r="S21" s="16"/>
      <c r="T21" s="15"/>
      <c r="U21" s="15"/>
      <c r="V21" s="15"/>
      <c r="W21" s="15"/>
      <c r="X21" s="15"/>
      <c r="Y21" s="15"/>
      <c r="Z21" s="58"/>
      <c r="AA21" s="58"/>
      <c r="AB21" s="58"/>
      <c r="AC21" s="58"/>
      <c r="AD21" s="58"/>
      <c r="AE21" s="58"/>
      <c r="AF21" s="58"/>
      <c r="AG21" s="58"/>
      <c r="AH21" s="58"/>
    </row>
    <row r="22" spans="1:34" s="60" customFormat="1" x14ac:dyDescent="0.2">
      <c r="A22" s="58"/>
      <c r="B22" s="10"/>
      <c r="C22" s="2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58"/>
      <c r="Q22" s="12"/>
      <c r="R22" s="11"/>
      <c r="S22" s="16"/>
      <c r="T22" s="15"/>
      <c r="U22" s="15"/>
      <c r="V22" s="15"/>
      <c r="W22" s="15"/>
      <c r="X22" s="15"/>
      <c r="Y22" s="15"/>
      <c r="Z22" s="58"/>
      <c r="AA22" s="58"/>
      <c r="AB22" s="58"/>
      <c r="AC22" s="58"/>
      <c r="AD22" s="58"/>
      <c r="AE22" s="58"/>
      <c r="AF22" s="58"/>
      <c r="AG22" s="58"/>
      <c r="AH22" s="58"/>
    </row>
    <row r="23" spans="1:34" x14ac:dyDescent="0.2">
      <c r="B23" s="10"/>
      <c r="C23" s="2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58"/>
      <c r="Q23" s="12"/>
      <c r="R23" s="11"/>
      <c r="S23" s="16"/>
      <c r="T23" s="15"/>
      <c r="U23" s="15"/>
      <c r="V23" s="15"/>
      <c r="W23" s="15"/>
      <c r="X23" s="15"/>
      <c r="Y23" s="15"/>
      <c r="Z23" s="58"/>
      <c r="AA23" s="58"/>
      <c r="AB23" s="58"/>
      <c r="AC23" s="58"/>
      <c r="AD23" s="58"/>
      <c r="AE23" s="58"/>
      <c r="AF23" s="58"/>
      <c r="AG23" s="58"/>
      <c r="AH23" s="58"/>
    </row>
    <row r="24" spans="1:34" x14ac:dyDescent="0.2">
      <c r="B24" s="10"/>
      <c r="C24" s="2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58"/>
      <c r="Q24" s="22"/>
      <c r="R24" s="11"/>
      <c r="S24" s="16"/>
      <c r="T24" s="15"/>
      <c r="U24" s="15"/>
      <c r="V24" s="15"/>
      <c r="W24" s="15"/>
      <c r="X24" s="15"/>
      <c r="Y24" s="15"/>
      <c r="Z24" s="58"/>
      <c r="AA24" s="58"/>
      <c r="AB24" s="58"/>
      <c r="AC24" s="58"/>
      <c r="AD24" s="58"/>
      <c r="AE24" s="58"/>
      <c r="AF24" s="58"/>
      <c r="AG24" s="58"/>
      <c r="AH24" s="58"/>
    </row>
    <row r="25" spans="1:34" x14ac:dyDescent="0.2">
      <c r="B25" s="10"/>
      <c r="C25" s="2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58"/>
      <c r="Q25" s="12"/>
      <c r="R25" s="11"/>
      <c r="S25" s="16"/>
      <c r="T25" s="15"/>
      <c r="U25" s="15"/>
      <c r="V25" s="15"/>
      <c r="W25" s="15"/>
      <c r="X25" s="15"/>
      <c r="Y25" s="15"/>
      <c r="Z25" s="58"/>
      <c r="AA25" s="58"/>
      <c r="AB25" s="58"/>
      <c r="AC25" s="58"/>
      <c r="AD25" s="58"/>
      <c r="AE25" s="58"/>
      <c r="AF25" s="58"/>
      <c r="AG25" s="58"/>
      <c r="AH25" s="58"/>
    </row>
    <row r="26" spans="1:34" x14ac:dyDescent="0.2">
      <c r="B26" s="10"/>
      <c r="C26" s="2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58"/>
      <c r="Q26" s="12"/>
      <c r="R26" s="11"/>
      <c r="S26" s="16"/>
      <c r="T26" s="15"/>
      <c r="U26" s="15"/>
      <c r="V26" s="15"/>
      <c r="W26" s="15"/>
      <c r="X26" s="15"/>
      <c r="Y26" s="15"/>
      <c r="Z26" s="58"/>
      <c r="AA26" s="58"/>
      <c r="AB26" s="58"/>
      <c r="AC26" s="58"/>
      <c r="AD26" s="58"/>
      <c r="AE26" s="58"/>
      <c r="AF26" s="58"/>
      <c r="AG26" s="58"/>
      <c r="AH26" s="58"/>
    </row>
    <row r="27" spans="1:34" x14ac:dyDescent="0.2">
      <c r="B27" s="10"/>
      <c r="C27" s="2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58"/>
      <c r="Q27" s="12"/>
      <c r="R27" s="11"/>
      <c r="S27" s="16"/>
      <c r="T27" s="15"/>
      <c r="U27" s="15"/>
      <c r="V27" s="15"/>
      <c r="W27" s="15"/>
      <c r="X27" s="15"/>
      <c r="Y27" s="15"/>
      <c r="Z27" s="58"/>
      <c r="AA27" s="58"/>
      <c r="AB27" s="58"/>
      <c r="AC27" s="58"/>
      <c r="AD27" s="58"/>
      <c r="AE27" s="58"/>
      <c r="AF27" s="58"/>
      <c r="AG27" s="58"/>
      <c r="AH27" s="58"/>
    </row>
    <row r="28" spans="1:34" x14ac:dyDescent="0.2">
      <c r="B28" s="10"/>
      <c r="C28" s="2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58"/>
      <c r="Q28" s="12"/>
      <c r="R28" s="11"/>
      <c r="S28" s="16"/>
      <c r="T28" s="15"/>
      <c r="U28" s="15"/>
      <c r="V28" s="15"/>
      <c r="W28" s="15"/>
      <c r="X28" s="15"/>
      <c r="Y28" s="15"/>
      <c r="Z28" s="58"/>
      <c r="AA28" s="58"/>
      <c r="AB28" s="58"/>
      <c r="AC28" s="58"/>
      <c r="AD28" s="58"/>
      <c r="AE28" s="58"/>
      <c r="AF28" s="58"/>
      <c r="AG28" s="58"/>
      <c r="AH28" s="58"/>
    </row>
    <row r="29" spans="1:34" x14ac:dyDescent="0.2">
      <c r="B29" s="10"/>
      <c r="C29" s="2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58"/>
      <c r="Q29" s="12"/>
      <c r="R29" s="11"/>
      <c r="S29" s="16"/>
      <c r="T29" s="15"/>
      <c r="U29" s="15"/>
      <c r="V29" s="15"/>
      <c r="W29" s="15"/>
      <c r="X29" s="15"/>
      <c r="Y29" s="15"/>
      <c r="Z29" s="58"/>
      <c r="AA29" s="58"/>
      <c r="AB29" s="58"/>
      <c r="AC29" s="58"/>
      <c r="AD29" s="58"/>
      <c r="AE29" s="58"/>
      <c r="AF29" s="58"/>
      <c r="AG29" s="58"/>
      <c r="AH29" s="58"/>
    </row>
    <row r="30" spans="1:34" x14ac:dyDescent="0.2">
      <c r="B30" s="10"/>
      <c r="C30" s="2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58"/>
      <c r="Q30" s="12"/>
      <c r="R30" s="11"/>
      <c r="S30" s="16"/>
      <c r="T30" s="15"/>
      <c r="U30" s="15"/>
      <c r="V30" s="15"/>
      <c r="W30" s="15"/>
      <c r="X30" s="15"/>
      <c r="Y30" s="15"/>
      <c r="Z30" s="58"/>
      <c r="AA30" s="58"/>
      <c r="AB30" s="58"/>
      <c r="AC30" s="58"/>
      <c r="AD30" s="58"/>
      <c r="AE30" s="58"/>
      <c r="AF30" s="58"/>
      <c r="AG30" s="58"/>
      <c r="AH30" s="58"/>
    </row>
    <row r="31" spans="1:34" x14ac:dyDescent="0.2">
      <c r="B31" s="10"/>
      <c r="C31" s="2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58"/>
      <c r="Q31" s="12"/>
      <c r="R31" s="11"/>
      <c r="S31" s="16"/>
      <c r="T31" s="15"/>
      <c r="U31" s="15"/>
      <c r="V31" s="15"/>
      <c r="W31" s="15"/>
      <c r="X31" s="15"/>
      <c r="Y31" s="15"/>
      <c r="Z31" s="58"/>
      <c r="AA31" s="58"/>
      <c r="AB31" s="58"/>
      <c r="AC31" s="58"/>
      <c r="AD31" s="58"/>
      <c r="AE31" s="58"/>
      <c r="AF31" s="58"/>
      <c r="AG31" s="58"/>
      <c r="AH31" s="58"/>
    </row>
    <row r="32" spans="1:34" x14ac:dyDescent="0.2">
      <c r="B32" s="10"/>
      <c r="C32" s="2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58"/>
      <c r="Q32" s="12"/>
      <c r="R32" s="11"/>
      <c r="Z32" s="58"/>
      <c r="AA32" s="58"/>
      <c r="AB32" s="58"/>
      <c r="AC32" s="58"/>
      <c r="AD32" s="58"/>
      <c r="AE32" s="58"/>
      <c r="AF32" s="58"/>
      <c r="AG32" s="58"/>
      <c r="AH32" s="58"/>
    </row>
    <row r="33" spans="2:34" x14ac:dyDescent="0.2">
      <c r="B33" s="10"/>
      <c r="C33" s="2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58"/>
      <c r="Q33" s="12"/>
      <c r="R33" s="11"/>
      <c r="Z33" s="58"/>
      <c r="AA33" s="58"/>
      <c r="AB33" s="58"/>
      <c r="AC33" s="58"/>
      <c r="AD33" s="58"/>
      <c r="AE33" s="58"/>
      <c r="AF33" s="58"/>
      <c r="AG33" s="58"/>
      <c r="AH33" s="58"/>
    </row>
    <row r="34" spans="2:34" x14ac:dyDescent="0.2">
      <c r="B34" s="10"/>
      <c r="C34" s="2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58"/>
      <c r="Q34" s="12"/>
      <c r="R34" s="11"/>
      <c r="Z34" s="58"/>
      <c r="AA34" s="58"/>
      <c r="AB34" s="58"/>
      <c r="AC34" s="58"/>
      <c r="AD34" s="58"/>
      <c r="AE34" s="58"/>
      <c r="AF34" s="58"/>
      <c r="AG34" s="58"/>
      <c r="AH34" s="58"/>
    </row>
    <row r="35" spans="2:34" x14ac:dyDescent="0.2">
      <c r="B35" s="10"/>
      <c r="C35" s="2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58"/>
      <c r="Q35" s="12"/>
      <c r="R35" s="11"/>
      <c r="Z35" s="58"/>
      <c r="AA35" s="58"/>
      <c r="AB35" s="58"/>
      <c r="AC35" s="58"/>
      <c r="AD35" s="58"/>
      <c r="AE35" s="58"/>
      <c r="AF35" s="58"/>
      <c r="AG35" s="58"/>
      <c r="AH35" s="58"/>
    </row>
    <row r="36" spans="2:34" x14ac:dyDescent="0.2">
      <c r="B36" s="10"/>
      <c r="C36" s="2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58"/>
      <c r="Q36" s="12"/>
      <c r="R36" s="11"/>
      <c r="Z36" s="58"/>
      <c r="AA36" s="58"/>
      <c r="AB36" s="58"/>
      <c r="AC36" s="58"/>
      <c r="AD36" s="58"/>
      <c r="AE36" s="58"/>
      <c r="AF36" s="58"/>
      <c r="AG36" s="58"/>
      <c r="AH36" s="58"/>
    </row>
    <row r="37" spans="2:34" x14ac:dyDescent="0.2">
      <c r="B37" s="10"/>
      <c r="C37" s="2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58"/>
      <c r="Q37" s="12"/>
      <c r="R37" s="11"/>
      <c r="Z37" s="58"/>
      <c r="AA37" s="58"/>
      <c r="AB37" s="58"/>
      <c r="AC37" s="58"/>
      <c r="AD37" s="58"/>
      <c r="AE37" s="58"/>
      <c r="AF37" s="58"/>
      <c r="AG37" s="58"/>
      <c r="AH37" s="58"/>
    </row>
    <row r="38" spans="2:34" x14ac:dyDescent="0.2">
      <c r="B38" s="10"/>
      <c r="C38" s="2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58"/>
      <c r="Q38" s="12"/>
      <c r="R38" s="11"/>
      <c r="Z38" s="58"/>
      <c r="AA38" s="58"/>
      <c r="AB38" s="58"/>
      <c r="AC38" s="58"/>
      <c r="AD38" s="58"/>
      <c r="AE38" s="58"/>
      <c r="AF38" s="58"/>
      <c r="AG38" s="58"/>
      <c r="AH38" s="58"/>
    </row>
    <row r="39" spans="2:34" x14ac:dyDescent="0.2">
      <c r="B39" s="10"/>
      <c r="C39" s="2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58"/>
      <c r="Q39" s="12"/>
      <c r="R39" s="11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2:34" x14ac:dyDescent="0.2">
      <c r="B40" s="10"/>
      <c r="C40" s="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58"/>
      <c r="Q40" s="12"/>
      <c r="R40" s="11"/>
      <c r="Z40" s="58"/>
      <c r="AA40" s="58"/>
      <c r="AB40" s="58"/>
      <c r="AC40" s="58"/>
      <c r="AD40" s="58"/>
      <c r="AE40" s="58"/>
      <c r="AF40" s="58"/>
      <c r="AG40" s="58"/>
      <c r="AH40" s="58"/>
    </row>
    <row r="41" spans="2:34" x14ac:dyDescent="0.2">
      <c r="B41" s="10"/>
      <c r="C41" s="2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58"/>
      <c r="Q41" s="12"/>
      <c r="R41" s="11"/>
      <c r="Z41" s="58"/>
      <c r="AA41" s="58"/>
      <c r="AB41" s="58"/>
      <c r="AC41" s="58"/>
      <c r="AD41" s="58"/>
      <c r="AE41" s="58"/>
      <c r="AF41" s="58"/>
      <c r="AG41" s="58"/>
      <c r="AH41" s="58"/>
    </row>
    <row r="42" spans="2:34" x14ac:dyDescent="0.2">
      <c r="B42" s="10"/>
      <c r="C42" s="2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58"/>
      <c r="Q42" s="12"/>
      <c r="R42" s="11"/>
      <c r="Z42" s="58"/>
      <c r="AA42" s="58"/>
      <c r="AB42" s="58"/>
      <c r="AC42" s="58"/>
      <c r="AD42" s="58"/>
      <c r="AE42" s="58"/>
      <c r="AF42" s="58"/>
      <c r="AG42" s="58"/>
      <c r="AH42" s="58"/>
    </row>
    <row r="43" spans="2:34" x14ac:dyDescent="0.2">
      <c r="B43" s="10"/>
      <c r="C43" s="2"/>
      <c r="D43" s="22"/>
      <c r="E43" s="23"/>
      <c r="F43" s="23"/>
      <c r="G43" s="23"/>
      <c r="H43" s="24"/>
      <c r="I43" s="24"/>
      <c r="J43" s="24"/>
      <c r="K43" s="23"/>
      <c r="L43" s="23"/>
      <c r="M43" s="23"/>
      <c r="N43" s="22"/>
      <c r="O43" s="22"/>
      <c r="P43" s="58"/>
      <c r="Q43" s="12"/>
      <c r="R43" s="11"/>
      <c r="Z43" s="58"/>
      <c r="AA43" s="58"/>
      <c r="AB43" s="58"/>
      <c r="AC43" s="58"/>
      <c r="AD43" s="58"/>
      <c r="AE43" s="58"/>
      <c r="AF43" s="58"/>
      <c r="AG43" s="58"/>
      <c r="AH43" s="58"/>
    </row>
    <row r="44" spans="2:34" x14ac:dyDescent="0.2">
      <c r="B44" s="10"/>
      <c r="C44" s="2"/>
      <c r="D44" s="22"/>
      <c r="E44" s="23"/>
      <c r="F44" s="23"/>
      <c r="G44" s="23"/>
      <c r="H44" s="24"/>
      <c r="I44" s="24"/>
      <c r="J44" s="24"/>
      <c r="K44" s="23"/>
      <c r="L44" s="23"/>
      <c r="M44" s="23"/>
      <c r="N44" s="22"/>
      <c r="O44" s="22"/>
      <c r="P44" s="58"/>
      <c r="Q44" s="12"/>
      <c r="R44" s="11"/>
      <c r="Z44" s="58"/>
      <c r="AA44" s="58"/>
      <c r="AB44" s="58"/>
      <c r="AC44" s="58"/>
      <c r="AD44" s="58"/>
      <c r="AE44" s="58"/>
      <c r="AF44" s="58"/>
      <c r="AG44" s="58"/>
      <c r="AH44" s="58"/>
    </row>
    <row r="45" spans="2:34" x14ac:dyDescent="0.2">
      <c r="B45" s="10"/>
      <c r="C45" s="2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58"/>
      <c r="Q45" s="12"/>
      <c r="R45" s="11"/>
      <c r="Z45" s="58"/>
      <c r="AA45" s="58"/>
      <c r="AB45" s="58"/>
      <c r="AC45" s="58"/>
      <c r="AD45" s="58"/>
      <c r="AE45" s="58"/>
      <c r="AF45" s="58"/>
      <c r="AG45" s="58"/>
      <c r="AH45" s="58"/>
    </row>
    <row r="46" spans="2:34" x14ac:dyDescent="0.2">
      <c r="B46" s="10"/>
      <c r="C46" s="2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58"/>
      <c r="Q46" s="12"/>
      <c r="R46" s="11"/>
      <c r="Z46" s="58"/>
      <c r="AA46" s="58"/>
      <c r="AB46" s="58"/>
      <c r="AC46" s="58"/>
      <c r="AD46" s="58"/>
      <c r="AE46" s="58"/>
      <c r="AF46" s="58"/>
      <c r="AG46" s="58"/>
      <c r="AH46" s="58"/>
    </row>
    <row r="47" spans="2:34" x14ac:dyDescent="0.2">
      <c r="B47" s="10"/>
      <c r="C47" s="2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58"/>
      <c r="Q47" s="12"/>
      <c r="R47" s="11"/>
      <c r="Z47" s="58"/>
      <c r="AA47" s="58"/>
      <c r="AB47" s="58"/>
      <c r="AC47" s="58"/>
      <c r="AD47" s="58"/>
      <c r="AE47" s="58"/>
      <c r="AF47" s="58"/>
      <c r="AG47" s="58"/>
      <c r="AH47" s="58"/>
    </row>
    <row r="48" spans="2:34" x14ac:dyDescent="0.2">
      <c r="B48" s="10"/>
      <c r="C48" s="2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58"/>
      <c r="Q48" s="12"/>
      <c r="R48" s="11"/>
      <c r="Z48" s="58"/>
      <c r="AA48" s="58"/>
      <c r="AB48" s="58"/>
      <c r="AC48" s="58"/>
      <c r="AD48" s="58"/>
      <c r="AE48" s="58"/>
      <c r="AF48" s="58"/>
      <c r="AG48" s="58"/>
      <c r="AH48" s="58"/>
    </row>
    <row r="49" spans="2:34" x14ac:dyDescent="0.2">
      <c r="B49" s="10"/>
      <c r="C49" s="2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58"/>
      <c r="Q49" s="12"/>
      <c r="R49" s="11"/>
      <c r="Z49" s="58"/>
      <c r="AA49" s="58"/>
      <c r="AB49" s="58"/>
      <c r="AC49" s="58"/>
      <c r="AD49" s="58"/>
      <c r="AE49" s="58"/>
      <c r="AF49" s="58"/>
      <c r="AG49" s="58"/>
      <c r="AH49" s="58"/>
    </row>
    <row r="50" spans="2:34" x14ac:dyDescent="0.2">
      <c r="B50" s="10"/>
      <c r="C50" s="2"/>
      <c r="D50" s="11"/>
      <c r="E50" s="11"/>
      <c r="F50" s="13"/>
      <c r="G50" s="11"/>
      <c r="H50" s="11"/>
      <c r="I50" s="11"/>
      <c r="J50" s="11"/>
      <c r="K50" s="11"/>
      <c r="L50" s="11"/>
      <c r="M50" s="11"/>
      <c r="N50" s="11"/>
      <c r="O50" s="11"/>
      <c r="P50" s="58"/>
      <c r="Q50" s="12"/>
      <c r="R50" s="11"/>
      <c r="Z50" s="58"/>
      <c r="AA50" s="58"/>
      <c r="AB50" s="58"/>
      <c r="AC50" s="58"/>
      <c r="AD50" s="58"/>
      <c r="AE50" s="58"/>
      <c r="AF50" s="58"/>
      <c r="AG50" s="58"/>
      <c r="AH50" s="58"/>
    </row>
    <row r="51" spans="2:34" x14ac:dyDescent="0.2">
      <c r="B51" s="10"/>
      <c r="C51" s="2"/>
      <c r="D51" s="11"/>
      <c r="E51" s="11"/>
      <c r="F51" s="13"/>
      <c r="G51" s="11"/>
      <c r="H51" s="11"/>
      <c r="I51" s="11"/>
      <c r="J51" s="11"/>
      <c r="K51" s="11"/>
      <c r="L51" s="11"/>
      <c r="M51" s="11"/>
      <c r="N51" s="11"/>
      <c r="O51" s="11"/>
      <c r="P51" s="58"/>
      <c r="Q51" s="12"/>
      <c r="R51" s="11"/>
      <c r="Z51" s="58"/>
      <c r="AA51" s="58"/>
      <c r="AB51" s="58"/>
      <c r="AC51" s="58"/>
      <c r="AD51" s="58"/>
      <c r="AE51" s="58"/>
      <c r="AF51" s="58"/>
      <c r="AG51" s="58"/>
      <c r="AH51" s="58"/>
    </row>
    <row r="52" spans="2:34" x14ac:dyDescent="0.2">
      <c r="B52" s="10"/>
      <c r="C52" s="2"/>
      <c r="D52" s="11"/>
      <c r="E52" s="11"/>
      <c r="F52" s="13"/>
      <c r="G52" s="11"/>
      <c r="H52" s="11"/>
      <c r="I52" s="11"/>
      <c r="J52" s="11"/>
      <c r="K52" s="11"/>
      <c r="L52" s="11"/>
      <c r="M52" s="11"/>
      <c r="N52" s="11"/>
      <c r="O52" s="11"/>
      <c r="P52" s="58"/>
      <c r="Q52" s="12"/>
      <c r="R52" s="11"/>
      <c r="Z52" s="58"/>
      <c r="AA52" s="58"/>
      <c r="AB52" s="58"/>
      <c r="AC52" s="58"/>
      <c r="AD52" s="58"/>
      <c r="AE52" s="58"/>
      <c r="AF52" s="58"/>
      <c r="AG52" s="58"/>
      <c r="AH52" s="58"/>
    </row>
    <row r="53" spans="2:34" x14ac:dyDescent="0.2">
      <c r="B53" s="10"/>
      <c r="C53" s="2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58"/>
      <c r="Q53" s="12"/>
      <c r="R53" s="11"/>
      <c r="Z53" s="58"/>
      <c r="AA53" s="58"/>
      <c r="AB53" s="58"/>
      <c r="AC53" s="58"/>
      <c r="AD53" s="58"/>
      <c r="AE53" s="58"/>
      <c r="AF53" s="58"/>
      <c r="AG53" s="58"/>
      <c r="AH53" s="58"/>
    </row>
    <row r="54" spans="2:34" x14ac:dyDescent="0.2">
      <c r="B54" s="10"/>
      <c r="C54" s="2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58"/>
      <c r="Q54" s="12"/>
      <c r="R54" s="11"/>
      <c r="Z54" s="58"/>
      <c r="AA54" s="58"/>
      <c r="AB54" s="58"/>
      <c r="AC54" s="58"/>
      <c r="AD54" s="58"/>
      <c r="AE54" s="58"/>
      <c r="AF54" s="58"/>
      <c r="AG54" s="58"/>
      <c r="AH54" s="58"/>
    </row>
    <row r="55" spans="2:34" x14ac:dyDescent="0.2">
      <c r="B55" s="10"/>
      <c r="C55" s="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58"/>
      <c r="Q55" s="12"/>
      <c r="R55" s="11"/>
      <c r="Z55" s="58"/>
      <c r="AA55" s="58"/>
      <c r="AB55" s="58"/>
      <c r="AC55" s="58"/>
      <c r="AD55" s="58"/>
      <c r="AE55" s="58"/>
      <c r="AF55" s="58"/>
      <c r="AG55" s="58"/>
      <c r="AH55" s="58"/>
    </row>
    <row r="56" spans="2:34" x14ac:dyDescent="0.2">
      <c r="B56" s="10"/>
      <c r="C56" s="2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58"/>
      <c r="Q56" s="12"/>
      <c r="R56" s="11"/>
      <c r="Z56" s="58"/>
      <c r="AA56" s="58"/>
      <c r="AB56" s="58"/>
      <c r="AC56" s="58"/>
      <c r="AD56" s="58"/>
      <c r="AE56" s="58"/>
      <c r="AF56" s="58"/>
      <c r="AG56" s="58"/>
      <c r="AH56" s="58"/>
    </row>
    <row r="57" spans="2:34" x14ac:dyDescent="0.2">
      <c r="B57" s="10"/>
      <c r="C57" s="2"/>
      <c r="D57" s="11"/>
      <c r="E57" s="11"/>
      <c r="F57" s="11"/>
      <c r="G57" s="11"/>
      <c r="H57" s="13"/>
      <c r="I57" s="11"/>
      <c r="J57" s="11"/>
      <c r="K57" s="11"/>
      <c r="L57" s="11"/>
      <c r="M57" s="11"/>
      <c r="N57" s="11"/>
      <c r="O57" s="11"/>
      <c r="P57" s="58"/>
      <c r="Q57" s="12"/>
      <c r="R57" s="11"/>
      <c r="Z57" s="58"/>
      <c r="AA57" s="58"/>
      <c r="AB57" s="58"/>
      <c r="AC57" s="58"/>
      <c r="AD57" s="58"/>
      <c r="AE57" s="58"/>
      <c r="AF57" s="58"/>
      <c r="AG57" s="58"/>
      <c r="AH57" s="58"/>
    </row>
    <row r="58" spans="2:34" x14ac:dyDescent="0.2">
      <c r="B58" s="10"/>
      <c r="C58" s="2"/>
      <c r="D58" s="11"/>
      <c r="E58" s="11"/>
      <c r="F58" s="11"/>
      <c r="G58" s="11"/>
      <c r="H58" s="13"/>
      <c r="I58" s="11"/>
      <c r="J58" s="11"/>
      <c r="K58" s="11"/>
      <c r="L58" s="11"/>
      <c r="M58" s="11"/>
      <c r="N58" s="11"/>
      <c r="O58" s="11"/>
      <c r="P58" s="58"/>
      <c r="Q58" s="12"/>
      <c r="R58" s="11"/>
      <c r="Z58" s="58"/>
      <c r="AA58" s="58"/>
      <c r="AB58" s="58"/>
      <c r="AC58" s="58"/>
      <c r="AD58" s="58"/>
      <c r="AE58" s="58"/>
      <c r="AF58" s="58"/>
      <c r="AG58" s="58"/>
      <c r="AH58" s="58"/>
    </row>
    <row r="59" spans="2:34" x14ac:dyDescent="0.2">
      <c r="B59" s="10"/>
      <c r="C59" s="2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58"/>
      <c r="Q59" s="12"/>
      <c r="R59" s="11"/>
      <c r="Z59" s="58"/>
      <c r="AA59" s="58"/>
      <c r="AB59" s="58"/>
      <c r="AC59" s="58"/>
      <c r="AD59" s="58"/>
      <c r="AE59" s="58"/>
      <c r="AF59" s="58"/>
      <c r="AG59" s="58"/>
      <c r="AH59" s="58"/>
    </row>
    <row r="60" spans="2:34" x14ac:dyDescent="0.2">
      <c r="B60" s="10"/>
      <c r="C60" s="2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58"/>
      <c r="Q60" s="12"/>
      <c r="R60" s="11"/>
      <c r="Z60" s="58"/>
      <c r="AA60" s="58"/>
      <c r="AB60" s="58"/>
      <c r="AC60" s="58"/>
      <c r="AD60" s="58"/>
      <c r="AE60" s="58"/>
      <c r="AF60" s="58"/>
      <c r="AG60" s="58"/>
      <c r="AH60" s="58"/>
    </row>
    <row r="61" spans="2:34" x14ac:dyDescent="0.2">
      <c r="B61" s="10"/>
      <c r="C61" s="2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58"/>
      <c r="Q61" s="12"/>
      <c r="R61" s="11"/>
      <c r="Z61" s="58"/>
      <c r="AA61" s="58"/>
      <c r="AB61" s="58"/>
      <c r="AC61" s="58"/>
      <c r="AD61" s="58"/>
      <c r="AE61" s="58"/>
      <c r="AF61" s="58"/>
      <c r="AG61" s="58"/>
      <c r="AH61" s="58"/>
    </row>
    <row r="62" spans="2:34" x14ac:dyDescent="0.2">
      <c r="B62" s="10"/>
      <c r="C62" s="2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58"/>
      <c r="Q62" s="12"/>
      <c r="R62" s="11"/>
      <c r="Z62" s="58"/>
      <c r="AA62" s="58"/>
      <c r="AB62" s="58"/>
      <c r="AC62" s="58"/>
      <c r="AD62" s="58"/>
      <c r="AE62" s="58"/>
      <c r="AF62" s="58"/>
      <c r="AG62" s="58"/>
      <c r="AH62" s="58"/>
    </row>
    <row r="63" spans="2:34" x14ac:dyDescent="0.2">
      <c r="B63" s="10"/>
      <c r="C63" s="2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58"/>
      <c r="Q63" s="12"/>
      <c r="R63" s="11"/>
      <c r="Z63" s="58"/>
      <c r="AA63" s="58"/>
      <c r="AB63" s="58"/>
      <c r="AC63" s="58"/>
      <c r="AD63" s="58"/>
      <c r="AE63" s="58"/>
      <c r="AF63" s="58"/>
      <c r="AG63" s="58"/>
      <c r="AH63" s="58"/>
    </row>
    <row r="64" spans="2:34" x14ac:dyDescent="0.2">
      <c r="B64" s="10"/>
      <c r="C64" s="2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58"/>
      <c r="Q64" s="12"/>
      <c r="R64" s="11"/>
      <c r="Z64" s="58"/>
      <c r="AA64" s="58"/>
      <c r="AB64" s="58"/>
      <c r="AC64" s="58"/>
      <c r="AD64" s="58"/>
      <c r="AE64" s="58"/>
      <c r="AF64" s="58"/>
      <c r="AG64" s="58"/>
      <c r="AH64" s="58"/>
    </row>
    <row r="65" spans="1:34" s="64" customFormat="1" x14ac:dyDescent="0.2">
      <c r="A65" s="58"/>
      <c r="B65" s="10"/>
      <c r="C65" s="2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58"/>
      <c r="Q65" s="12"/>
      <c r="R65" s="11"/>
      <c r="S65" s="4"/>
      <c r="T65" s="3"/>
      <c r="U65" s="3"/>
      <c r="V65" s="3"/>
      <c r="W65" s="3"/>
      <c r="X65" s="3"/>
      <c r="Y65" s="3"/>
      <c r="Z65" s="58"/>
      <c r="AA65" s="58"/>
      <c r="AB65" s="58"/>
      <c r="AC65" s="58"/>
      <c r="AD65" s="58"/>
      <c r="AE65" s="58"/>
      <c r="AF65" s="58"/>
      <c r="AG65" s="58"/>
      <c r="AH65" s="58"/>
    </row>
    <row r="66" spans="1:34" x14ac:dyDescent="0.2">
      <c r="B66" s="10"/>
      <c r="C66" s="2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58"/>
      <c r="Q66" s="12"/>
      <c r="R66" s="11"/>
      <c r="Z66" s="58"/>
      <c r="AA66" s="58"/>
      <c r="AB66" s="58"/>
      <c r="AC66" s="58"/>
      <c r="AD66" s="58"/>
      <c r="AE66" s="58"/>
      <c r="AF66" s="58"/>
      <c r="AG66" s="58"/>
      <c r="AH66" s="58"/>
    </row>
    <row r="67" spans="1:34" x14ac:dyDescent="0.2">
      <c r="B67" s="10"/>
      <c r="C67" s="2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58"/>
      <c r="Q67" s="12"/>
      <c r="R67" s="11"/>
      <c r="Z67" s="58"/>
      <c r="AA67" s="58"/>
      <c r="AB67" s="58"/>
      <c r="AC67" s="58"/>
      <c r="AD67" s="58"/>
      <c r="AE67" s="58"/>
      <c r="AF67" s="58"/>
      <c r="AG67" s="58"/>
      <c r="AH67" s="58"/>
    </row>
    <row r="68" spans="1:34" x14ac:dyDescent="0.2">
      <c r="B68" s="10"/>
      <c r="C68" s="2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58"/>
      <c r="Q68" s="12"/>
      <c r="R68" s="11"/>
      <c r="Z68" s="58"/>
      <c r="AA68" s="58"/>
      <c r="AB68" s="58"/>
      <c r="AC68" s="58"/>
      <c r="AD68" s="58"/>
      <c r="AE68" s="58"/>
      <c r="AF68" s="58"/>
      <c r="AG68" s="58"/>
      <c r="AH68" s="58"/>
    </row>
    <row r="69" spans="1:34" x14ac:dyDescent="0.2">
      <c r="B69" s="10"/>
      <c r="C69" s="2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58"/>
      <c r="Q69" s="12"/>
      <c r="R69" s="11"/>
      <c r="Z69" s="58"/>
      <c r="AA69" s="58"/>
      <c r="AB69" s="58"/>
      <c r="AC69" s="58"/>
      <c r="AD69" s="58"/>
      <c r="AE69" s="58"/>
      <c r="AF69" s="58"/>
      <c r="AG69" s="58"/>
      <c r="AH69" s="58"/>
    </row>
    <row r="70" spans="1:34" x14ac:dyDescent="0.2">
      <c r="B70" s="10"/>
      <c r="C70" s="2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58"/>
      <c r="Q70" s="12"/>
      <c r="R70" s="11"/>
      <c r="Z70" s="58"/>
      <c r="AA70" s="58"/>
      <c r="AB70" s="58"/>
      <c r="AC70" s="58"/>
      <c r="AD70" s="58"/>
      <c r="AE70" s="58"/>
      <c r="AF70" s="58"/>
      <c r="AG70" s="58"/>
      <c r="AH70" s="58"/>
    </row>
    <row r="71" spans="1:34" x14ac:dyDescent="0.2">
      <c r="B71" s="10"/>
      <c r="C71" s="2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58"/>
      <c r="Q71" s="12"/>
      <c r="R71" s="11"/>
      <c r="Z71" s="58"/>
      <c r="AA71" s="58"/>
      <c r="AB71" s="58"/>
      <c r="AC71" s="58"/>
      <c r="AD71" s="58"/>
      <c r="AE71" s="58"/>
      <c r="AF71" s="58"/>
      <c r="AG71" s="58"/>
      <c r="AH71" s="58"/>
    </row>
    <row r="72" spans="1:34" x14ac:dyDescent="0.2">
      <c r="B72" s="10"/>
      <c r="C72" s="2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58"/>
      <c r="Q72" s="12"/>
      <c r="R72" s="11"/>
      <c r="Z72" s="58"/>
      <c r="AA72" s="58"/>
      <c r="AB72" s="58"/>
      <c r="AC72" s="58"/>
      <c r="AD72" s="58"/>
      <c r="AE72" s="58"/>
      <c r="AF72" s="58"/>
      <c r="AG72" s="58"/>
      <c r="AH72" s="58"/>
    </row>
    <row r="73" spans="1:34" x14ac:dyDescent="0.2">
      <c r="B73" s="10"/>
      <c r="C73" s="2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58"/>
      <c r="Q73" s="12"/>
      <c r="R73" s="11"/>
      <c r="Z73" s="58"/>
      <c r="AA73" s="58"/>
      <c r="AB73" s="58"/>
      <c r="AC73" s="58"/>
      <c r="AD73" s="58"/>
      <c r="AE73" s="58"/>
      <c r="AF73" s="58"/>
      <c r="AG73" s="58"/>
      <c r="AH73" s="58"/>
    </row>
    <row r="74" spans="1:34" x14ac:dyDescent="0.2">
      <c r="B74" s="10"/>
      <c r="C74" s="2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58"/>
      <c r="Q74" s="12"/>
      <c r="R74" s="11"/>
      <c r="Z74" s="58"/>
      <c r="AA74" s="58"/>
      <c r="AB74" s="58"/>
      <c r="AC74" s="58"/>
      <c r="AD74" s="58"/>
      <c r="AE74" s="58"/>
      <c r="AF74" s="58"/>
      <c r="AG74" s="58"/>
      <c r="AH74" s="58"/>
    </row>
    <row r="75" spans="1:34" ht="9.75" customHeight="1" x14ac:dyDescent="0.2">
      <c r="B75" s="10"/>
      <c r="C75" s="2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58"/>
      <c r="Q75" s="12"/>
      <c r="R75" s="11"/>
      <c r="Z75" s="58"/>
      <c r="AA75" s="58"/>
      <c r="AB75" s="58"/>
      <c r="AC75" s="58"/>
      <c r="AD75" s="58"/>
      <c r="AE75" s="58"/>
      <c r="AF75" s="58"/>
      <c r="AG75" s="58"/>
      <c r="AH75" s="58"/>
    </row>
    <row r="76" spans="1:34" x14ac:dyDescent="0.2">
      <c r="B76" s="10"/>
      <c r="C76" s="2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58"/>
      <c r="Q76" s="12"/>
      <c r="R76" s="11"/>
      <c r="Z76" s="58"/>
      <c r="AA76" s="58"/>
      <c r="AB76" s="58"/>
      <c r="AC76" s="58"/>
      <c r="AD76" s="58"/>
      <c r="AE76" s="58"/>
      <c r="AF76" s="58"/>
      <c r="AG76" s="58"/>
      <c r="AH76" s="58"/>
    </row>
    <row r="77" spans="1:34" x14ac:dyDescent="0.2">
      <c r="B77" s="10"/>
      <c r="C77" s="2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58"/>
      <c r="Q77" s="12"/>
      <c r="R77" s="11"/>
      <c r="Z77" s="58"/>
      <c r="AA77" s="58"/>
      <c r="AB77" s="58"/>
      <c r="AC77" s="58"/>
      <c r="AD77" s="58"/>
      <c r="AE77" s="58"/>
      <c r="AF77" s="58"/>
      <c r="AG77" s="58"/>
      <c r="AH77" s="58"/>
    </row>
    <row r="78" spans="1:34" x14ac:dyDescent="0.2">
      <c r="B78" s="10"/>
      <c r="C78" s="2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58"/>
      <c r="Q78" s="12"/>
      <c r="R78" s="11"/>
      <c r="Z78" s="58"/>
      <c r="AA78" s="58"/>
      <c r="AB78" s="58"/>
      <c r="AC78" s="58"/>
      <c r="AD78" s="58"/>
      <c r="AE78" s="58"/>
      <c r="AF78" s="58"/>
      <c r="AG78" s="58"/>
      <c r="AH78" s="58"/>
    </row>
    <row r="79" spans="1:34" x14ac:dyDescent="0.2">
      <c r="B79" s="10"/>
      <c r="C79" s="2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58"/>
      <c r="Q79" s="12"/>
      <c r="R79" s="11"/>
      <c r="Z79" s="58"/>
      <c r="AA79" s="58"/>
      <c r="AB79" s="58"/>
      <c r="AC79" s="58"/>
      <c r="AD79" s="58"/>
      <c r="AE79" s="58"/>
      <c r="AF79" s="58"/>
      <c r="AG79" s="58"/>
      <c r="AH79" s="58"/>
    </row>
    <row r="80" spans="1:34" x14ac:dyDescent="0.2">
      <c r="B80" s="10"/>
      <c r="C80" s="2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58"/>
      <c r="Q80" s="12"/>
      <c r="R80" s="11"/>
      <c r="Z80" s="58"/>
      <c r="AA80" s="58"/>
      <c r="AB80" s="58"/>
      <c r="AC80" s="58"/>
      <c r="AD80" s="58"/>
      <c r="AE80" s="58"/>
      <c r="AF80" s="58"/>
      <c r="AG80" s="58"/>
      <c r="AH80" s="58"/>
    </row>
    <row r="81" spans="2:34" x14ac:dyDescent="0.2">
      <c r="B81" s="10"/>
      <c r="C81" s="2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58"/>
      <c r="Q81" s="12"/>
      <c r="R81" s="11"/>
      <c r="Z81" s="58"/>
      <c r="AA81" s="58"/>
      <c r="AB81" s="58"/>
      <c r="AC81" s="58"/>
      <c r="AD81" s="58"/>
      <c r="AE81" s="58"/>
      <c r="AF81" s="58"/>
      <c r="AG81" s="58"/>
      <c r="AH81" s="58"/>
    </row>
    <row r="82" spans="2:34" x14ac:dyDescent="0.2">
      <c r="B82" s="10"/>
      <c r="C82" s="2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58"/>
      <c r="Q82" s="12"/>
      <c r="R82" s="11"/>
      <c r="Z82" s="58"/>
      <c r="AA82" s="58"/>
      <c r="AB82" s="58"/>
      <c r="AC82" s="58"/>
      <c r="AD82" s="58"/>
      <c r="AE82" s="58"/>
      <c r="AF82" s="58"/>
      <c r="AG82" s="58"/>
      <c r="AH82" s="58"/>
    </row>
    <row r="83" spans="2:34" x14ac:dyDescent="0.2">
      <c r="B83" s="10"/>
      <c r="C83" s="2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58"/>
      <c r="Q83" s="12"/>
      <c r="R83" s="11"/>
      <c r="Z83" s="58"/>
      <c r="AA83" s="58"/>
      <c r="AB83" s="58"/>
      <c r="AC83" s="58"/>
      <c r="AD83" s="58"/>
      <c r="AE83" s="58"/>
      <c r="AF83" s="58"/>
      <c r="AG83" s="58"/>
      <c r="AH83" s="58"/>
    </row>
    <row r="84" spans="2:34" x14ac:dyDescent="0.2">
      <c r="B84" s="10"/>
      <c r="C84" s="2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58"/>
      <c r="Q84" s="12"/>
      <c r="R84" s="11"/>
      <c r="Z84" s="58"/>
      <c r="AA84" s="58"/>
      <c r="AB84" s="58"/>
      <c r="AC84" s="58"/>
      <c r="AD84" s="58"/>
      <c r="AE84" s="58"/>
      <c r="AF84" s="58"/>
      <c r="AG84" s="58"/>
      <c r="AH84" s="58"/>
    </row>
    <row r="85" spans="2:34" x14ac:dyDescent="0.2">
      <c r="B85" s="10"/>
      <c r="C85" s="2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58"/>
      <c r="Q85" s="12"/>
      <c r="R85" s="11"/>
      <c r="Z85" s="58"/>
      <c r="AA85" s="58"/>
      <c r="AB85" s="58"/>
      <c r="AC85" s="58"/>
      <c r="AD85" s="58"/>
      <c r="AE85" s="58"/>
      <c r="AF85" s="58"/>
      <c r="AG85" s="58"/>
      <c r="AH85" s="58"/>
    </row>
    <row r="86" spans="2:34" x14ac:dyDescent="0.2">
      <c r="B86" s="10"/>
      <c r="C86" s="2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58"/>
      <c r="Q86" s="12"/>
      <c r="R86" s="11"/>
      <c r="Z86" s="58"/>
      <c r="AA86" s="58"/>
      <c r="AB86" s="58"/>
      <c r="AC86" s="58"/>
      <c r="AD86" s="58"/>
      <c r="AE86" s="58"/>
      <c r="AF86" s="58"/>
      <c r="AG86" s="58"/>
      <c r="AH86" s="58"/>
    </row>
    <row r="87" spans="2:34" x14ac:dyDescent="0.2">
      <c r="B87" s="10"/>
      <c r="C87" s="2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58"/>
      <c r="Q87" s="12"/>
      <c r="R87" s="11"/>
      <c r="Z87" s="58"/>
      <c r="AA87" s="58"/>
      <c r="AB87" s="58"/>
      <c r="AC87" s="58"/>
      <c r="AD87" s="58"/>
      <c r="AE87" s="58"/>
      <c r="AF87" s="58"/>
      <c r="AG87" s="58"/>
      <c r="AH87" s="58"/>
    </row>
    <row r="88" spans="2:34" x14ac:dyDescent="0.2">
      <c r="B88" s="10"/>
      <c r="C88" s="2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58"/>
      <c r="Q88" s="12"/>
      <c r="R88" s="11"/>
      <c r="Z88" s="58"/>
      <c r="AA88" s="58"/>
      <c r="AB88" s="58"/>
      <c r="AC88" s="58"/>
      <c r="AD88" s="58"/>
      <c r="AE88" s="58"/>
      <c r="AF88" s="58"/>
      <c r="AG88" s="58"/>
      <c r="AH88" s="58"/>
    </row>
    <row r="89" spans="2:34" x14ac:dyDescent="0.2">
      <c r="B89" s="10"/>
      <c r="C89" s="2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58"/>
      <c r="Q89" s="12"/>
      <c r="R89" s="11"/>
      <c r="Z89" s="58"/>
      <c r="AA89" s="58"/>
      <c r="AB89" s="58"/>
      <c r="AC89" s="58"/>
      <c r="AD89" s="58"/>
      <c r="AE89" s="58"/>
      <c r="AF89" s="58"/>
      <c r="AG89" s="58"/>
      <c r="AH89" s="58"/>
    </row>
    <row r="90" spans="2:34" x14ac:dyDescent="0.2">
      <c r="B90" s="10"/>
      <c r="C90" s="2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58"/>
      <c r="Q90" s="12"/>
      <c r="R90" s="11"/>
      <c r="Z90" s="58"/>
      <c r="AA90" s="58"/>
      <c r="AB90" s="58"/>
      <c r="AC90" s="58"/>
      <c r="AD90" s="58"/>
      <c r="AE90" s="58"/>
      <c r="AF90" s="58"/>
      <c r="AG90" s="58"/>
      <c r="AH90" s="58"/>
    </row>
    <row r="91" spans="2:34" x14ac:dyDescent="0.2">
      <c r="B91" s="10"/>
      <c r="C91" s="2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58"/>
      <c r="Q91" s="12"/>
      <c r="R91" s="11"/>
      <c r="Z91" s="58"/>
      <c r="AA91" s="58"/>
      <c r="AB91" s="58"/>
      <c r="AC91" s="58"/>
      <c r="AD91" s="58"/>
      <c r="AE91" s="58"/>
      <c r="AF91" s="58"/>
      <c r="AG91" s="58"/>
      <c r="AH91" s="58"/>
    </row>
    <row r="92" spans="2:34" x14ac:dyDescent="0.2">
      <c r="B92" s="10"/>
      <c r="C92" s="2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58"/>
      <c r="Q92" s="12"/>
      <c r="R92" s="11"/>
      <c r="Z92" s="58"/>
      <c r="AA92" s="58"/>
      <c r="AB92" s="58"/>
      <c r="AC92" s="58"/>
      <c r="AD92" s="58"/>
      <c r="AE92" s="58"/>
      <c r="AF92" s="58"/>
      <c r="AG92" s="58"/>
      <c r="AH92" s="58"/>
    </row>
    <row r="93" spans="2:34" x14ac:dyDescent="0.2">
      <c r="B93" s="10"/>
      <c r="C93" s="2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58"/>
      <c r="Q93" s="12"/>
      <c r="R93" s="11"/>
      <c r="Z93" s="58"/>
      <c r="AA93" s="58"/>
      <c r="AB93" s="58"/>
      <c r="AC93" s="58"/>
      <c r="AD93" s="58"/>
      <c r="AE93" s="58"/>
      <c r="AF93" s="58"/>
      <c r="AG93" s="58"/>
      <c r="AH93" s="58"/>
    </row>
    <row r="94" spans="2:34" x14ac:dyDescent="0.2">
      <c r="B94" s="10"/>
      <c r="C94" s="2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58"/>
      <c r="Q94" s="12"/>
      <c r="R94" s="11"/>
      <c r="Z94" s="58"/>
      <c r="AA94" s="58"/>
      <c r="AB94" s="58"/>
      <c r="AC94" s="58"/>
      <c r="AD94" s="58"/>
      <c r="AE94" s="58"/>
      <c r="AF94" s="58"/>
      <c r="AG94" s="58"/>
      <c r="AH94" s="58"/>
    </row>
    <row r="95" spans="2:34" x14ac:dyDescent="0.2">
      <c r="B95" s="10"/>
      <c r="C95" s="2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58"/>
      <c r="Q95" s="12"/>
      <c r="R95" s="11"/>
      <c r="Z95" s="58"/>
      <c r="AA95" s="58"/>
      <c r="AB95" s="58"/>
      <c r="AC95" s="58"/>
      <c r="AD95" s="58"/>
      <c r="AE95" s="58"/>
      <c r="AF95" s="58"/>
      <c r="AG95" s="58"/>
      <c r="AH95" s="58"/>
    </row>
    <row r="96" spans="2:34" x14ac:dyDescent="0.2">
      <c r="B96" s="10"/>
      <c r="C96" s="2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58"/>
      <c r="Q96" s="12"/>
      <c r="R96" s="11"/>
      <c r="Z96" s="58"/>
      <c r="AA96" s="58"/>
      <c r="AB96" s="58"/>
      <c r="AC96" s="58"/>
      <c r="AD96" s="58"/>
      <c r="AE96" s="58"/>
      <c r="AF96" s="58"/>
      <c r="AG96" s="58"/>
      <c r="AH96" s="58"/>
    </row>
    <row r="97" spans="2:34" x14ac:dyDescent="0.2">
      <c r="B97" s="10"/>
      <c r="C97" s="2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58"/>
      <c r="Q97" s="12"/>
      <c r="R97" s="11"/>
      <c r="Z97" s="58"/>
      <c r="AA97" s="58"/>
      <c r="AB97" s="58"/>
      <c r="AC97" s="58"/>
      <c r="AD97" s="58"/>
      <c r="AE97" s="58"/>
      <c r="AF97" s="58"/>
      <c r="AG97" s="58"/>
      <c r="AH97" s="58"/>
    </row>
    <row r="98" spans="2:34" x14ac:dyDescent="0.2">
      <c r="B98" s="10"/>
      <c r="C98" s="2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58"/>
      <c r="Q98" s="12"/>
      <c r="R98" s="11"/>
      <c r="Z98" s="58"/>
      <c r="AA98" s="58"/>
      <c r="AB98" s="58"/>
      <c r="AC98" s="58"/>
      <c r="AD98" s="58"/>
      <c r="AE98" s="58"/>
      <c r="AF98" s="58"/>
      <c r="AG98" s="58"/>
      <c r="AH98" s="58"/>
    </row>
    <row r="99" spans="2:34" x14ac:dyDescent="0.2">
      <c r="B99" s="10"/>
      <c r="C99" s="2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58"/>
      <c r="Q99" s="12"/>
      <c r="R99" s="11"/>
      <c r="Z99" s="58"/>
      <c r="AA99" s="58"/>
      <c r="AB99" s="58"/>
      <c r="AC99" s="58"/>
      <c r="AD99" s="58"/>
      <c r="AE99" s="58"/>
      <c r="AF99" s="58"/>
      <c r="AG99" s="58"/>
      <c r="AH99" s="58"/>
    </row>
    <row r="100" spans="2:34" x14ac:dyDescent="0.2">
      <c r="B100" s="10"/>
      <c r="C100" s="2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58"/>
      <c r="Q100" s="12"/>
      <c r="R100" s="11"/>
      <c r="Z100" s="58"/>
      <c r="AA100" s="58"/>
      <c r="AB100" s="58"/>
      <c r="AC100" s="58"/>
      <c r="AD100" s="58"/>
      <c r="AE100" s="58"/>
      <c r="AF100" s="58"/>
      <c r="AG100" s="58"/>
      <c r="AH100" s="58"/>
    </row>
    <row r="101" spans="2:34" x14ac:dyDescent="0.2">
      <c r="B101" s="10"/>
      <c r="C101" s="2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58"/>
      <c r="Q101" s="12"/>
      <c r="R101" s="11"/>
      <c r="Z101" s="58"/>
      <c r="AA101" s="58"/>
      <c r="AB101" s="58"/>
      <c r="AC101" s="58"/>
      <c r="AD101" s="58"/>
      <c r="AE101" s="58"/>
      <c r="AF101" s="58"/>
      <c r="AG101" s="58"/>
      <c r="AH101" s="58"/>
    </row>
    <row r="102" spans="2:34" x14ac:dyDescent="0.2">
      <c r="B102" s="10"/>
      <c r="C102" s="2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58"/>
      <c r="Q102" s="12"/>
      <c r="R102" s="11"/>
      <c r="Z102" s="58"/>
      <c r="AA102" s="58"/>
      <c r="AB102" s="58"/>
      <c r="AC102" s="58"/>
      <c r="AD102" s="58"/>
      <c r="AE102" s="58"/>
      <c r="AF102" s="58"/>
      <c r="AG102" s="58"/>
      <c r="AH102" s="58"/>
    </row>
    <row r="103" spans="2:34" x14ac:dyDescent="0.2">
      <c r="B103" s="10"/>
      <c r="C103" s="2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58"/>
      <c r="Q103" s="12"/>
      <c r="R103" s="11"/>
      <c r="Z103" s="58"/>
      <c r="AA103" s="58"/>
      <c r="AB103" s="58"/>
      <c r="AC103" s="58"/>
      <c r="AD103" s="58"/>
      <c r="AE103" s="58"/>
      <c r="AF103" s="58"/>
      <c r="AG103" s="58"/>
      <c r="AH103" s="58"/>
    </row>
    <row r="104" spans="2:34" x14ac:dyDescent="0.2">
      <c r="B104" s="10"/>
      <c r="C104" s="2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58"/>
      <c r="Q104" s="12"/>
      <c r="R104" s="11"/>
      <c r="Z104" s="58"/>
      <c r="AA104" s="58"/>
      <c r="AB104" s="58"/>
      <c r="AC104" s="58"/>
      <c r="AD104" s="58"/>
      <c r="AE104" s="58"/>
      <c r="AF104" s="58"/>
      <c r="AG104" s="58"/>
      <c r="AH104" s="58"/>
    </row>
    <row r="105" spans="2:34" x14ac:dyDescent="0.2">
      <c r="B105" s="10"/>
      <c r="C105" s="2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58"/>
      <c r="Q105" s="13"/>
      <c r="R105" s="13"/>
      <c r="S105" s="21"/>
      <c r="Z105" s="58"/>
      <c r="AA105" s="58"/>
      <c r="AB105" s="58"/>
      <c r="AC105" s="58"/>
      <c r="AD105" s="58"/>
      <c r="AE105" s="58"/>
      <c r="AF105" s="58"/>
      <c r="AG105" s="58"/>
      <c r="AH105" s="58"/>
    </row>
    <row r="106" spans="2:34" x14ac:dyDescent="0.2">
      <c r="B106" s="10"/>
      <c r="C106" s="2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58"/>
      <c r="Q106" s="13"/>
      <c r="R106" s="13"/>
      <c r="S106" s="21"/>
      <c r="Z106" s="58"/>
      <c r="AA106" s="58"/>
      <c r="AB106" s="58"/>
      <c r="AC106" s="58"/>
      <c r="AD106" s="58"/>
      <c r="AE106" s="58"/>
      <c r="AF106" s="58"/>
      <c r="AG106" s="58"/>
      <c r="AH106" s="58"/>
    </row>
    <row r="107" spans="2:34" x14ac:dyDescent="0.2">
      <c r="B107" s="10"/>
      <c r="C107" s="2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58"/>
      <c r="Q107" s="13"/>
      <c r="R107" s="13"/>
      <c r="S107" s="20"/>
      <c r="T107" s="15"/>
      <c r="U107" s="15"/>
      <c r="V107" s="15"/>
      <c r="W107" s="15"/>
      <c r="Y107" s="15"/>
      <c r="Z107" s="58"/>
      <c r="AA107" s="58"/>
      <c r="AB107" s="58"/>
      <c r="AC107" s="58"/>
      <c r="AD107" s="58"/>
      <c r="AE107" s="58"/>
      <c r="AF107" s="58"/>
      <c r="AG107" s="58"/>
      <c r="AH107" s="58"/>
    </row>
    <row r="108" spans="2:34" x14ac:dyDescent="0.2">
      <c r="B108" s="10"/>
      <c r="C108" s="2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58"/>
      <c r="Q108" s="13"/>
      <c r="R108" s="13"/>
      <c r="S108" s="20"/>
      <c r="T108" s="15"/>
      <c r="U108" s="15"/>
      <c r="V108" s="15"/>
      <c r="W108" s="15"/>
      <c r="Y108" s="15"/>
      <c r="Z108" s="58"/>
      <c r="AA108" s="58"/>
      <c r="AB108" s="58"/>
      <c r="AC108" s="58"/>
      <c r="AD108" s="58"/>
      <c r="AE108" s="58"/>
      <c r="AF108" s="58"/>
      <c r="AG108" s="58"/>
      <c r="AH108" s="58"/>
    </row>
    <row r="109" spans="2:34" x14ac:dyDescent="0.2">
      <c r="B109" s="10"/>
      <c r="C109" s="2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58"/>
      <c r="Q109" s="12"/>
      <c r="R109" s="11"/>
      <c r="S109" s="16"/>
      <c r="T109" s="15"/>
      <c r="U109" s="15"/>
      <c r="V109" s="15"/>
      <c r="W109" s="15"/>
      <c r="Y109" s="15"/>
      <c r="Z109" s="58"/>
      <c r="AA109" s="58"/>
      <c r="AB109" s="58"/>
      <c r="AC109" s="58"/>
      <c r="AD109" s="58"/>
      <c r="AE109" s="58"/>
      <c r="AF109" s="58"/>
      <c r="AG109" s="58"/>
      <c r="AH109" s="58"/>
    </row>
    <row r="110" spans="2:34" x14ac:dyDescent="0.2">
      <c r="B110" s="10"/>
      <c r="C110" s="2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58"/>
      <c r="Q110" s="12"/>
      <c r="R110" s="11"/>
      <c r="S110" s="16"/>
      <c r="T110" s="15"/>
      <c r="U110" s="15"/>
      <c r="V110" s="15"/>
      <c r="W110" s="15"/>
      <c r="Y110" s="15"/>
      <c r="Z110" s="58"/>
      <c r="AA110" s="58"/>
      <c r="AB110" s="58"/>
      <c r="AC110" s="58"/>
      <c r="AD110" s="58"/>
      <c r="AE110" s="58"/>
      <c r="AF110" s="58"/>
      <c r="AG110" s="58"/>
      <c r="AH110" s="58"/>
    </row>
    <row r="111" spans="2:34" x14ac:dyDescent="0.2">
      <c r="B111" s="10"/>
      <c r="C111" s="2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58"/>
      <c r="Q111" s="15"/>
      <c r="R111" s="15"/>
      <c r="S111" s="18"/>
      <c r="T111" s="17"/>
      <c r="U111" s="17"/>
      <c r="V111" s="17"/>
      <c r="W111" s="15"/>
      <c r="Y111" s="15"/>
      <c r="Z111" s="58"/>
      <c r="AA111" s="58"/>
      <c r="AB111" s="58"/>
      <c r="AC111" s="58"/>
      <c r="AD111" s="58"/>
      <c r="AE111" s="58"/>
      <c r="AF111" s="58"/>
      <c r="AG111" s="58"/>
      <c r="AH111" s="58"/>
    </row>
    <row r="112" spans="2:34" x14ac:dyDescent="0.2">
      <c r="B112" s="10"/>
      <c r="C112" s="2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58"/>
      <c r="Q112" s="19"/>
      <c r="R112" s="15"/>
      <c r="S112" s="18"/>
      <c r="T112" s="17"/>
      <c r="U112" s="17"/>
      <c r="V112" s="17"/>
      <c r="W112" s="15"/>
      <c r="Y112" s="15"/>
      <c r="Z112" s="58"/>
      <c r="AA112" s="58"/>
      <c r="AB112" s="58"/>
      <c r="AC112" s="58"/>
      <c r="AD112" s="58"/>
      <c r="AE112" s="58"/>
      <c r="AF112" s="58"/>
      <c r="AG112" s="58"/>
      <c r="AH112" s="58"/>
    </row>
    <row r="113" spans="1:48" x14ac:dyDescent="0.2">
      <c r="B113" s="10"/>
      <c r="C113" s="2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58"/>
      <c r="Q113" s="15"/>
      <c r="R113" s="15"/>
      <c r="S113" s="18"/>
      <c r="T113" s="17"/>
      <c r="U113" s="17"/>
      <c r="V113" s="17"/>
      <c r="W113" s="15"/>
      <c r="Y113" s="15"/>
      <c r="Z113" s="58"/>
      <c r="AA113" s="58"/>
      <c r="AB113" s="58"/>
      <c r="AC113" s="58"/>
      <c r="AD113" s="58"/>
      <c r="AE113" s="58"/>
      <c r="AF113" s="58"/>
      <c r="AG113" s="58"/>
      <c r="AH113" s="58"/>
    </row>
    <row r="114" spans="1:48" x14ac:dyDescent="0.2">
      <c r="B114" s="10"/>
      <c r="C114" s="2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58"/>
      <c r="Q114" s="15"/>
      <c r="R114" s="15"/>
      <c r="S114" s="18"/>
      <c r="T114" s="17"/>
      <c r="U114" s="17"/>
      <c r="V114" s="17"/>
      <c r="W114" s="15"/>
      <c r="Y114" s="15"/>
      <c r="Z114" s="58"/>
      <c r="AA114" s="58"/>
      <c r="AB114" s="58"/>
      <c r="AC114" s="58"/>
      <c r="AD114" s="58"/>
      <c r="AE114" s="58"/>
      <c r="AF114" s="58"/>
      <c r="AG114" s="58"/>
      <c r="AH114" s="58"/>
    </row>
    <row r="115" spans="1:48" x14ac:dyDescent="0.2">
      <c r="B115" s="10"/>
      <c r="C115" s="2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58"/>
      <c r="Q115" s="15"/>
      <c r="R115" s="13"/>
      <c r="S115" s="16"/>
      <c r="T115" s="13"/>
      <c r="U115" s="13"/>
      <c r="V115" s="13"/>
      <c r="W115" s="15"/>
      <c r="Y115" s="15"/>
      <c r="Z115" s="58"/>
      <c r="AA115" s="58"/>
      <c r="AB115" s="58"/>
      <c r="AC115" s="58"/>
      <c r="AD115" s="58"/>
      <c r="AE115" s="58"/>
      <c r="AF115" s="58"/>
      <c r="AG115" s="58"/>
      <c r="AH115" s="58"/>
    </row>
    <row r="116" spans="1:48" x14ac:dyDescent="0.2">
      <c r="B116" s="10"/>
      <c r="C116" s="2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58"/>
      <c r="Q116" s="12"/>
      <c r="R116" s="11"/>
      <c r="S116" s="16"/>
      <c r="T116" s="15"/>
      <c r="U116" s="15"/>
      <c r="V116" s="15"/>
      <c r="W116" s="15"/>
      <c r="Y116" s="15"/>
      <c r="Z116" s="58"/>
      <c r="AA116" s="58"/>
      <c r="AB116" s="58"/>
      <c r="AC116" s="58"/>
      <c r="AD116" s="58"/>
      <c r="AE116" s="58"/>
      <c r="AF116" s="58"/>
      <c r="AG116" s="58"/>
      <c r="AH116" s="58"/>
    </row>
    <row r="117" spans="1:48" x14ac:dyDescent="0.2">
      <c r="B117" s="10"/>
      <c r="C117" s="2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58"/>
      <c r="Q117" s="12"/>
      <c r="R117" s="11"/>
      <c r="Z117" s="58"/>
      <c r="AA117" s="58"/>
      <c r="AB117" s="58"/>
      <c r="AC117" s="58"/>
      <c r="AD117" s="58"/>
      <c r="AE117" s="58"/>
      <c r="AF117" s="58"/>
      <c r="AG117" s="58"/>
      <c r="AH117" s="58"/>
    </row>
    <row r="118" spans="1:48" x14ac:dyDescent="0.2">
      <c r="B118" s="10"/>
      <c r="C118" s="2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58"/>
      <c r="Q118" s="12"/>
      <c r="R118" s="11"/>
      <c r="Z118" s="58"/>
      <c r="AA118" s="58"/>
      <c r="AB118" s="58"/>
      <c r="AC118" s="58"/>
      <c r="AD118" s="58"/>
      <c r="AE118" s="58"/>
      <c r="AF118" s="58"/>
      <c r="AG118" s="58"/>
      <c r="AH118" s="58"/>
    </row>
    <row r="119" spans="1:48" x14ac:dyDescent="0.2">
      <c r="B119" s="10"/>
      <c r="C119" s="2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58"/>
      <c r="Q119" s="12"/>
      <c r="R119" s="11"/>
      <c r="Z119" s="58"/>
      <c r="AA119" s="58"/>
      <c r="AB119" s="58"/>
      <c r="AC119" s="58"/>
      <c r="AD119" s="58"/>
      <c r="AE119" s="58"/>
      <c r="AF119" s="58"/>
      <c r="AG119" s="58"/>
      <c r="AH119" s="58"/>
    </row>
    <row r="120" spans="1:48" x14ac:dyDescent="0.2">
      <c r="B120" s="10"/>
      <c r="C120" s="2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58"/>
      <c r="Q120" s="12"/>
      <c r="R120" s="11"/>
      <c r="Z120" s="58"/>
      <c r="AA120" s="58"/>
      <c r="AB120" s="58"/>
      <c r="AC120" s="58"/>
      <c r="AD120" s="58"/>
      <c r="AE120" s="58"/>
      <c r="AF120" s="58"/>
      <c r="AG120" s="58"/>
      <c r="AH120" s="58"/>
    </row>
    <row r="121" spans="1:48" x14ac:dyDescent="0.2">
      <c r="B121" s="10"/>
      <c r="C121" s="2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58"/>
      <c r="Q121" s="12"/>
      <c r="R121" s="11"/>
      <c r="Z121" s="58"/>
      <c r="AA121" s="58"/>
      <c r="AB121" s="58"/>
      <c r="AC121" s="58"/>
      <c r="AD121" s="58"/>
      <c r="AE121" s="58"/>
      <c r="AF121" s="58"/>
      <c r="AG121" s="58"/>
      <c r="AH121" s="58"/>
    </row>
    <row r="122" spans="1:48" s="61" customFormat="1" x14ac:dyDescent="0.2">
      <c r="A122" s="63"/>
      <c r="B122" s="10"/>
      <c r="C122" s="2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63"/>
      <c r="Q122" s="12"/>
      <c r="R122" s="11"/>
      <c r="S122" s="4"/>
      <c r="T122" s="3"/>
      <c r="U122" s="3"/>
      <c r="V122" s="3"/>
      <c r="W122" s="3"/>
      <c r="X122" s="3"/>
      <c r="Y122" s="3"/>
      <c r="Z122" s="63"/>
      <c r="AA122" s="63"/>
      <c r="AB122" s="63"/>
      <c r="AC122" s="63"/>
      <c r="AD122" s="63"/>
      <c r="AE122" s="63"/>
      <c r="AF122" s="63"/>
      <c r="AG122" s="63"/>
      <c r="AH122" s="63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</row>
    <row r="123" spans="1:48" x14ac:dyDescent="0.2">
      <c r="B123" s="10"/>
      <c r="C123" s="2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58"/>
      <c r="Q123" s="12"/>
      <c r="R123" s="11"/>
      <c r="Z123" s="58"/>
      <c r="AA123" s="58"/>
      <c r="AB123" s="58"/>
      <c r="AC123" s="58"/>
      <c r="AD123" s="58"/>
      <c r="AE123" s="58"/>
      <c r="AF123" s="58"/>
      <c r="AG123" s="58"/>
      <c r="AH123" s="58"/>
    </row>
    <row r="124" spans="1:48" x14ac:dyDescent="0.2">
      <c r="B124" s="10"/>
      <c r="C124" s="2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58"/>
      <c r="Q124" s="12"/>
      <c r="R124" s="11"/>
      <c r="Z124" s="58"/>
      <c r="AA124" s="58"/>
      <c r="AB124" s="58"/>
      <c r="AC124" s="58"/>
      <c r="AD124" s="58"/>
      <c r="AE124" s="58"/>
      <c r="AF124" s="58"/>
      <c r="AG124" s="58"/>
      <c r="AH124" s="58"/>
    </row>
    <row r="125" spans="1:48" x14ac:dyDescent="0.2">
      <c r="B125" s="10"/>
      <c r="C125" s="2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58"/>
      <c r="Q125" s="12"/>
      <c r="R125" s="11"/>
      <c r="Z125" s="58"/>
      <c r="AA125" s="58"/>
      <c r="AB125" s="58"/>
      <c r="AC125" s="58"/>
      <c r="AD125" s="58"/>
      <c r="AE125" s="58"/>
      <c r="AF125" s="58"/>
      <c r="AG125" s="58"/>
      <c r="AH125" s="58"/>
    </row>
    <row r="126" spans="1:48" x14ac:dyDescent="0.2">
      <c r="B126" s="10"/>
      <c r="C126" s="2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3"/>
      <c r="O126" s="11"/>
      <c r="P126" s="58"/>
      <c r="Q126" s="12"/>
      <c r="R126" s="11"/>
      <c r="Z126" s="58"/>
      <c r="AA126" s="58"/>
      <c r="AB126" s="58"/>
      <c r="AC126" s="58"/>
      <c r="AD126" s="58"/>
      <c r="AE126" s="58"/>
      <c r="AF126" s="58"/>
      <c r="AG126" s="58"/>
      <c r="AH126" s="58"/>
    </row>
    <row r="127" spans="1:48" x14ac:dyDescent="0.2">
      <c r="B127" s="10"/>
      <c r="C127" s="2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3"/>
      <c r="O127" s="11"/>
      <c r="P127" s="58"/>
      <c r="Q127" s="12"/>
      <c r="R127" s="11"/>
      <c r="Z127" s="58"/>
      <c r="AA127" s="58"/>
      <c r="AB127" s="58"/>
      <c r="AC127" s="58"/>
      <c r="AD127" s="58"/>
      <c r="AE127" s="58"/>
      <c r="AF127" s="58"/>
      <c r="AG127" s="58"/>
      <c r="AH127" s="58"/>
    </row>
    <row r="128" spans="1:48" x14ac:dyDescent="0.2">
      <c r="B128" s="10"/>
      <c r="C128" s="2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58"/>
      <c r="Q128" s="12"/>
      <c r="R128" s="11"/>
      <c r="Z128" s="58"/>
      <c r="AA128" s="58"/>
      <c r="AB128" s="58"/>
      <c r="AC128" s="58"/>
      <c r="AD128" s="58"/>
      <c r="AE128" s="58"/>
      <c r="AF128" s="58"/>
      <c r="AG128" s="58"/>
      <c r="AH128" s="58"/>
    </row>
    <row r="129" spans="1:34" x14ac:dyDescent="0.2">
      <c r="B129" s="10"/>
      <c r="C129" s="2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58"/>
      <c r="Q129" s="12"/>
      <c r="R129" s="11"/>
      <c r="Z129" s="58"/>
      <c r="AA129" s="58"/>
      <c r="AB129" s="58"/>
      <c r="AC129" s="58"/>
      <c r="AD129" s="58"/>
      <c r="AE129" s="58"/>
      <c r="AF129" s="58"/>
      <c r="AG129" s="58"/>
      <c r="AH129" s="58"/>
    </row>
    <row r="130" spans="1:34" x14ac:dyDescent="0.2">
      <c r="B130" s="10"/>
      <c r="C130" s="2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58"/>
      <c r="Q130" s="12"/>
      <c r="R130" s="11"/>
      <c r="Z130" s="58"/>
      <c r="AA130" s="58"/>
      <c r="AB130" s="58"/>
      <c r="AC130" s="58"/>
      <c r="AD130" s="58"/>
      <c r="AE130" s="58"/>
      <c r="AF130" s="58"/>
      <c r="AG130" s="58"/>
      <c r="AH130" s="58"/>
    </row>
    <row r="131" spans="1:34" x14ac:dyDescent="0.2">
      <c r="B131" s="10"/>
      <c r="C131" s="2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58"/>
      <c r="Q131" s="12"/>
      <c r="R131" s="11"/>
      <c r="Z131" s="58"/>
      <c r="AA131" s="58"/>
      <c r="AB131" s="58"/>
      <c r="AC131" s="58"/>
      <c r="AD131" s="58"/>
      <c r="AE131" s="58"/>
      <c r="AF131" s="58"/>
      <c r="AG131" s="58"/>
      <c r="AH131" s="58"/>
    </row>
    <row r="132" spans="1:34" x14ac:dyDescent="0.2">
      <c r="B132" s="10"/>
      <c r="C132" s="2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58"/>
      <c r="Q132" s="12"/>
      <c r="R132" s="11"/>
      <c r="Z132" s="58"/>
      <c r="AA132" s="58"/>
      <c r="AB132" s="58"/>
      <c r="AC132" s="58"/>
      <c r="AD132" s="58"/>
      <c r="AE132" s="58"/>
      <c r="AF132" s="58"/>
      <c r="AG132" s="58"/>
      <c r="AH132" s="58"/>
    </row>
    <row r="133" spans="1:34" x14ac:dyDescent="0.2">
      <c r="B133" s="10"/>
      <c r="C133" s="2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58"/>
      <c r="Q133" s="12"/>
      <c r="R133" s="11"/>
      <c r="Z133" s="58"/>
      <c r="AA133" s="58"/>
      <c r="AB133" s="58"/>
      <c r="AC133" s="58"/>
      <c r="AD133" s="58"/>
      <c r="AE133" s="58"/>
      <c r="AF133" s="58"/>
      <c r="AG133" s="58"/>
      <c r="AH133" s="58"/>
    </row>
    <row r="134" spans="1:34" x14ac:dyDescent="0.2">
      <c r="B134" s="10"/>
      <c r="C134" s="2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58"/>
      <c r="Q134" s="12"/>
      <c r="R134" s="11"/>
      <c r="Z134" s="58"/>
      <c r="AA134" s="58"/>
      <c r="AB134" s="58"/>
      <c r="AC134" s="58"/>
      <c r="AD134" s="58"/>
      <c r="AE134" s="58"/>
      <c r="AF134" s="58"/>
      <c r="AG134" s="58"/>
      <c r="AH134" s="58"/>
    </row>
    <row r="135" spans="1:34" x14ac:dyDescent="0.2">
      <c r="B135" s="10"/>
      <c r="C135" s="2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58"/>
      <c r="Q135" s="12"/>
      <c r="R135" s="11"/>
      <c r="Z135" s="58"/>
      <c r="AA135" s="58"/>
      <c r="AB135" s="58"/>
      <c r="AC135" s="58"/>
      <c r="AD135" s="58"/>
      <c r="AE135" s="58"/>
      <c r="AF135" s="58"/>
      <c r="AG135" s="58"/>
      <c r="AH135" s="58"/>
    </row>
    <row r="136" spans="1:34" x14ac:dyDescent="0.2">
      <c r="B136" s="10"/>
      <c r="C136" s="2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58"/>
      <c r="Q136" s="12"/>
      <c r="R136" s="11"/>
      <c r="Z136" s="58"/>
      <c r="AA136" s="58"/>
      <c r="AB136" s="58"/>
      <c r="AC136" s="58"/>
      <c r="AD136" s="58"/>
      <c r="AE136" s="58"/>
      <c r="AF136" s="58"/>
      <c r="AG136" s="58"/>
      <c r="AH136" s="58"/>
    </row>
    <row r="137" spans="1:34" x14ac:dyDescent="0.2">
      <c r="B137" s="10"/>
      <c r="C137" s="2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58"/>
      <c r="Q137" s="12"/>
      <c r="R137" s="11"/>
      <c r="Z137" s="58"/>
      <c r="AA137" s="58"/>
      <c r="AB137" s="58"/>
      <c r="AC137" s="58"/>
      <c r="AD137" s="58"/>
      <c r="AE137" s="58"/>
      <c r="AF137" s="58"/>
      <c r="AG137" s="58"/>
      <c r="AH137" s="58"/>
    </row>
    <row r="138" spans="1:34" s="60" customFormat="1" x14ac:dyDescent="0.2">
      <c r="A138" s="58"/>
      <c r="B138" s="10"/>
      <c r="C138" s="2"/>
      <c r="D138" s="11"/>
      <c r="E138" s="11"/>
      <c r="F138" s="11"/>
      <c r="G138" s="11"/>
      <c r="H138" s="11"/>
      <c r="I138" s="11"/>
      <c r="J138" s="11"/>
      <c r="K138" s="14"/>
      <c r="L138" s="11"/>
      <c r="M138" s="11"/>
      <c r="N138" s="11"/>
      <c r="O138" s="11"/>
      <c r="P138" s="58"/>
      <c r="Q138" s="12"/>
      <c r="R138" s="11"/>
      <c r="S138" s="4"/>
      <c r="T138" s="3"/>
      <c r="U138" s="3"/>
      <c r="V138" s="3"/>
      <c r="W138" s="3"/>
      <c r="X138" s="3"/>
      <c r="Y138" s="3"/>
      <c r="Z138" s="58"/>
      <c r="AA138" s="58"/>
      <c r="AB138" s="58"/>
      <c r="AC138" s="58"/>
      <c r="AD138" s="58"/>
      <c r="AE138" s="58"/>
      <c r="AF138" s="58"/>
      <c r="AG138" s="58"/>
      <c r="AH138" s="58"/>
    </row>
    <row r="139" spans="1:34" x14ac:dyDescent="0.2">
      <c r="B139" s="10"/>
      <c r="C139" s="2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58"/>
      <c r="Q139" s="12"/>
      <c r="R139" s="11"/>
      <c r="Z139" s="58"/>
      <c r="AA139" s="58"/>
      <c r="AB139" s="58"/>
      <c r="AC139" s="58"/>
      <c r="AD139" s="58"/>
      <c r="AE139" s="58"/>
      <c r="AF139" s="58"/>
      <c r="AG139" s="58"/>
      <c r="AH139" s="58"/>
    </row>
    <row r="140" spans="1:34" x14ac:dyDescent="0.2">
      <c r="B140" s="10"/>
      <c r="C140" s="2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58"/>
      <c r="Q140" s="12"/>
      <c r="R140" s="11"/>
      <c r="Z140" s="58"/>
      <c r="AA140" s="58"/>
      <c r="AB140" s="58"/>
      <c r="AC140" s="58"/>
      <c r="AD140" s="58"/>
      <c r="AE140" s="58"/>
      <c r="AF140" s="58"/>
      <c r="AG140" s="58"/>
      <c r="AH140" s="58"/>
    </row>
    <row r="141" spans="1:34" x14ac:dyDescent="0.2">
      <c r="B141" s="10"/>
      <c r="C141" s="2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58"/>
      <c r="Q141" s="12"/>
      <c r="R141" s="11"/>
      <c r="Z141" s="58"/>
      <c r="AA141" s="58"/>
      <c r="AB141" s="58"/>
      <c r="AC141" s="58"/>
      <c r="AD141" s="58"/>
      <c r="AE141" s="58"/>
      <c r="AF141" s="58"/>
      <c r="AG141" s="58"/>
      <c r="AH141" s="58"/>
    </row>
    <row r="142" spans="1:34" x14ac:dyDescent="0.2">
      <c r="B142" s="10"/>
      <c r="C142" s="2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58"/>
      <c r="Q142" s="12"/>
      <c r="R142" s="11"/>
      <c r="Z142" s="58"/>
      <c r="AA142" s="58"/>
      <c r="AB142" s="58"/>
      <c r="AC142" s="58"/>
      <c r="AD142" s="58"/>
      <c r="AE142" s="58"/>
      <c r="AF142" s="58"/>
      <c r="AG142" s="58"/>
      <c r="AH142" s="58"/>
    </row>
    <row r="143" spans="1:34" x14ac:dyDescent="0.2">
      <c r="B143" s="10"/>
      <c r="C143" s="2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58"/>
      <c r="Q143" s="12"/>
      <c r="R143" s="11"/>
      <c r="Z143" s="58"/>
      <c r="AA143" s="58"/>
      <c r="AB143" s="58"/>
      <c r="AC143" s="58"/>
      <c r="AD143" s="58"/>
      <c r="AE143" s="58"/>
      <c r="AF143" s="58"/>
      <c r="AG143" s="58"/>
      <c r="AH143" s="58"/>
    </row>
    <row r="144" spans="1:34" x14ac:dyDescent="0.2">
      <c r="B144" s="10"/>
      <c r="C144" s="2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58"/>
      <c r="Q144" s="12"/>
      <c r="R144" s="11"/>
      <c r="Z144" s="58"/>
      <c r="AA144" s="58"/>
      <c r="AB144" s="58"/>
      <c r="AC144" s="58"/>
      <c r="AD144" s="58"/>
      <c r="AE144" s="58"/>
      <c r="AF144" s="58"/>
      <c r="AG144" s="58"/>
      <c r="AH144" s="58"/>
    </row>
    <row r="145" spans="2:34" x14ac:dyDescent="0.2">
      <c r="B145" s="10"/>
      <c r="C145" s="2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58"/>
      <c r="Q145" s="12"/>
      <c r="R145" s="11"/>
      <c r="Z145" s="58"/>
      <c r="AA145" s="58"/>
      <c r="AB145" s="58"/>
      <c r="AC145" s="58"/>
      <c r="AD145" s="58"/>
      <c r="AE145" s="58"/>
      <c r="AF145" s="58"/>
      <c r="AG145" s="58"/>
      <c r="AH145" s="58"/>
    </row>
    <row r="146" spans="2:34" x14ac:dyDescent="0.2">
      <c r="B146" s="10"/>
      <c r="C146" s="2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58"/>
      <c r="Q146" s="12"/>
      <c r="R146" s="11"/>
      <c r="Z146" s="58"/>
      <c r="AA146" s="58"/>
      <c r="AB146" s="58"/>
      <c r="AC146" s="58"/>
      <c r="AD146" s="58"/>
      <c r="AE146" s="58"/>
      <c r="AF146" s="58"/>
      <c r="AG146" s="58"/>
      <c r="AH146" s="58"/>
    </row>
    <row r="147" spans="2:34" x14ac:dyDescent="0.2">
      <c r="B147" s="10"/>
      <c r="C147" s="2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58"/>
      <c r="Q147" s="12"/>
      <c r="R147" s="11"/>
      <c r="Z147" s="58"/>
      <c r="AA147" s="58"/>
      <c r="AB147" s="58"/>
      <c r="AC147" s="58"/>
      <c r="AD147" s="58"/>
      <c r="AE147" s="58"/>
      <c r="AF147" s="58"/>
      <c r="AG147" s="58"/>
      <c r="AH147" s="58"/>
    </row>
    <row r="148" spans="2:34" x14ac:dyDescent="0.2">
      <c r="B148" s="10"/>
      <c r="C148" s="2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58"/>
      <c r="Q148" s="9"/>
      <c r="R148" s="8"/>
      <c r="Z148" s="58"/>
      <c r="AA148" s="58"/>
      <c r="AB148" s="58"/>
      <c r="AC148" s="58"/>
      <c r="AD148" s="58"/>
      <c r="AE148" s="58"/>
      <c r="AF148" s="58"/>
      <c r="AG148" s="58"/>
      <c r="AH148" s="58"/>
    </row>
    <row r="149" spans="2:34" x14ac:dyDescent="0.2">
      <c r="B149" s="10"/>
      <c r="C149" s="2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58"/>
      <c r="Q149" s="9"/>
      <c r="R149" s="8"/>
      <c r="Z149" s="58"/>
      <c r="AA149" s="58"/>
      <c r="AB149" s="58"/>
      <c r="AC149" s="58"/>
      <c r="AD149" s="58"/>
      <c r="AE149" s="58"/>
      <c r="AF149" s="58"/>
      <c r="AG149" s="58"/>
      <c r="AH149" s="58"/>
    </row>
    <row r="150" spans="2:34" x14ac:dyDescent="0.2">
      <c r="B150" s="10"/>
      <c r="C150" s="2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58"/>
      <c r="Q150" s="9"/>
      <c r="R150" s="8"/>
      <c r="Z150" s="58"/>
      <c r="AA150" s="58"/>
      <c r="AB150" s="58"/>
      <c r="AC150" s="58"/>
      <c r="AD150" s="58"/>
      <c r="AE150" s="58"/>
      <c r="AF150" s="58"/>
      <c r="AG150" s="58"/>
      <c r="AH150" s="58"/>
    </row>
    <row r="151" spans="2:34" x14ac:dyDescent="0.2">
      <c r="B151" s="10"/>
      <c r="C151" s="2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58"/>
      <c r="Q151" s="9"/>
      <c r="R151" s="8"/>
      <c r="Z151" s="58"/>
      <c r="AA151" s="58"/>
      <c r="AB151" s="58"/>
      <c r="AC151" s="58"/>
      <c r="AD151" s="58"/>
      <c r="AE151" s="58"/>
      <c r="AF151" s="58"/>
      <c r="AG151" s="58"/>
      <c r="AH151" s="58"/>
    </row>
    <row r="152" spans="2:34" x14ac:dyDescent="0.2">
      <c r="B152" s="10"/>
      <c r="C152" s="2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58"/>
      <c r="Q152" s="9"/>
      <c r="R152" s="8"/>
      <c r="Z152" s="58"/>
      <c r="AA152" s="58"/>
      <c r="AB152" s="58"/>
      <c r="AC152" s="58"/>
      <c r="AD152" s="58"/>
      <c r="AE152" s="58"/>
      <c r="AF152" s="58"/>
      <c r="AG152" s="58"/>
      <c r="AH152" s="58"/>
    </row>
    <row r="153" spans="2:34" x14ac:dyDescent="0.2">
      <c r="B153" s="10"/>
      <c r="C153" s="2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58"/>
      <c r="Q153" s="9"/>
      <c r="R153" s="8"/>
      <c r="Z153" s="58"/>
      <c r="AA153" s="58"/>
      <c r="AB153" s="58"/>
      <c r="AC153" s="58"/>
      <c r="AD153" s="58"/>
      <c r="AE153" s="58"/>
      <c r="AF153" s="58"/>
      <c r="AG153" s="58"/>
      <c r="AH153" s="58"/>
    </row>
    <row r="154" spans="2:34" x14ac:dyDescent="0.2">
      <c r="B154" s="10"/>
      <c r="C154" s="2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58"/>
      <c r="Q154" s="9"/>
      <c r="R154" s="8"/>
      <c r="Z154" s="58"/>
      <c r="AA154" s="58"/>
      <c r="AB154" s="58"/>
      <c r="AC154" s="58"/>
      <c r="AD154" s="58"/>
      <c r="AE154" s="58"/>
      <c r="AF154" s="58"/>
      <c r="AG154" s="58"/>
      <c r="AH154" s="58"/>
    </row>
    <row r="155" spans="2:34" x14ac:dyDescent="0.2">
      <c r="B155" s="10"/>
      <c r="C155" s="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58"/>
      <c r="Q155" s="9"/>
      <c r="R155" s="8"/>
      <c r="Z155" s="58"/>
      <c r="AA155" s="58"/>
      <c r="AB155" s="58"/>
      <c r="AC155" s="58"/>
      <c r="AD155" s="58"/>
      <c r="AE155" s="58"/>
      <c r="AF155" s="58"/>
      <c r="AG155" s="58"/>
      <c r="AH155" s="58"/>
    </row>
    <row r="156" spans="2:34" x14ac:dyDescent="0.2">
      <c r="B156" s="10"/>
      <c r="C156" s="2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58"/>
      <c r="Q156" s="9"/>
      <c r="R156" s="8"/>
      <c r="Z156" s="58"/>
      <c r="AA156" s="58"/>
      <c r="AB156" s="58"/>
      <c r="AC156" s="58"/>
      <c r="AD156" s="58"/>
      <c r="AE156" s="58"/>
      <c r="AF156" s="58"/>
      <c r="AG156" s="58"/>
      <c r="AH156" s="58"/>
    </row>
    <row r="157" spans="2:34" x14ac:dyDescent="0.2">
      <c r="B157" s="10"/>
      <c r="C157" s="2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58"/>
      <c r="Q157" s="9"/>
      <c r="R157" s="8"/>
      <c r="Z157" s="58"/>
      <c r="AA157" s="58"/>
      <c r="AB157" s="58"/>
      <c r="AC157" s="58"/>
      <c r="AD157" s="58"/>
      <c r="AE157" s="58"/>
      <c r="AF157" s="58"/>
      <c r="AG157" s="58"/>
      <c r="AH157" s="58"/>
    </row>
    <row r="158" spans="2:34" x14ac:dyDescent="0.2">
      <c r="B158" s="10"/>
      <c r="C158" s="2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58"/>
      <c r="Q158" s="9"/>
      <c r="R158" s="8"/>
      <c r="Z158" s="58"/>
      <c r="AA158" s="58"/>
      <c r="AB158" s="58"/>
      <c r="AC158" s="58"/>
      <c r="AD158" s="58"/>
      <c r="AE158" s="58"/>
      <c r="AF158" s="58"/>
      <c r="AG158" s="58"/>
      <c r="AH158" s="58"/>
    </row>
    <row r="159" spans="2:34" x14ac:dyDescent="0.2">
      <c r="B159" s="10"/>
      <c r="C159" s="2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58"/>
      <c r="Q159" s="9"/>
      <c r="R159" s="8"/>
      <c r="Z159" s="58"/>
      <c r="AA159" s="58"/>
      <c r="AB159" s="58"/>
      <c r="AC159" s="58"/>
      <c r="AD159" s="58"/>
      <c r="AE159" s="58"/>
      <c r="AF159" s="58"/>
      <c r="AG159" s="58"/>
      <c r="AH159" s="58"/>
    </row>
    <row r="160" spans="2:34" x14ac:dyDescent="0.2">
      <c r="B160" s="10"/>
      <c r="C160" s="2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58"/>
      <c r="Q160" s="9"/>
      <c r="R160" s="8"/>
      <c r="Z160" s="58"/>
      <c r="AA160" s="58"/>
      <c r="AB160" s="58"/>
      <c r="AC160" s="58"/>
      <c r="AD160" s="58"/>
      <c r="AE160" s="58"/>
      <c r="AF160" s="58"/>
      <c r="AG160" s="58"/>
      <c r="AH160" s="58"/>
    </row>
    <row r="161" spans="2:34" x14ac:dyDescent="0.2">
      <c r="B161" s="10"/>
      <c r="C161" s="2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58"/>
      <c r="Q161" s="9"/>
      <c r="R161" s="8"/>
      <c r="Z161" s="58"/>
      <c r="AA161" s="58"/>
      <c r="AB161" s="58"/>
      <c r="AC161" s="58"/>
      <c r="AD161" s="58"/>
      <c r="AE161" s="58"/>
      <c r="AF161" s="58"/>
      <c r="AG161" s="58"/>
      <c r="AH161" s="58"/>
    </row>
    <row r="162" spans="2:34" x14ac:dyDescent="0.2">
      <c r="B162" s="10"/>
      <c r="C162" s="2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58"/>
      <c r="Q162" s="9"/>
      <c r="R162" s="8"/>
      <c r="Z162" s="58"/>
      <c r="AA162" s="58"/>
      <c r="AB162" s="58"/>
      <c r="AC162" s="58"/>
      <c r="AD162" s="58"/>
      <c r="AE162" s="58"/>
      <c r="AF162" s="58"/>
      <c r="AG162" s="58"/>
      <c r="AH162" s="58"/>
    </row>
    <row r="163" spans="2:34" x14ac:dyDescent="0.2">
      <c r="B163" s="10"/>
      <c r="C163" s="2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58"/>
      <c r="Q163" s="9"/>
      <c r="R163" s="8"/>
      <c r="Z163" s="58"/>
      <c r="AA163" s="58"/>
      <c r="AB163" s="58"/>
      <c r="AC163" s="58"/>
      <c r="AD163" s="58"/>
      <c r="AE163" s="58"/>
      <c r="AF163" s="58"/>
      <c r="AG163" s="58"/>
      <c r="AH163" s="58"/>
    </row>
    <row r="164" spans="2:34" x14ac:dyDescent="0.2">
      <c r="B164" s="10"/>
      <c r="C164" s="2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58"/>
      <c r="Q164" s="9"/>
      <c r="R164" s="8"/>
      <c r="Z164" s="58"/>
      <c r="AA164" s="58"/>
      <c r="AB164" s="58"/>
      <c r="AC164" s="58"/>
      <c r="AD164" s="58"/>
      <c r="AE164" s="58"/>
      <c r="AF164" s="58"/>
      <c r="AG164" s="58"/>
      <c r="AH164" s="58"/>
    </row>
    <row r="165" spans="2:34" x14ac:dyDescent="0.2">
      <c r="B165" s="10"/>
      <c r="C165" s="2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58"/>
      <c r="Q165" s="9"/>
      <c r="R165" s="8"/>
      <c r="Z165" s="58"/>
      <c r="AA165" s="58"/>
      <c r="AB165" s="58"/>
      <c r="AC165" s="58"/>
      <c r="AD165" s="58"/>
      <c r="AE165" s="58"/>
      <c r="AF165" s="58"/>
      <c r="AG165" s="58"/>
      <c r="AH165" s="58"/>
    </row>
    <row r="166" spans="2:34" x14ac:dyDescent="0.2">
      <c r="B166" s="10"/>
      <c r="C166" s="2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58"/>
      <c r="Q166" s="9"/>
      <c r="R166" s="8"/>
      <c r="Z166" s="58"/>
      <c r="AA166" s="58"/>
      <c r="AB166" s="58"/>
      <c r="AC166" s="58"/>
      <c r="AD166" s="58"/>
      <c r="AE166" s="58"/>
      <c r="AF166" s="58"/>
      <c r="AG166" s="58"/>
      <c r="AH166" s="58"/>
    </row>
    <row r="167" spans="2:34" x14ac:dyDescent="0.2">
      <c r="B167" s="10"/>
      <c r="C167" s="2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58"/>
      <c r="Q167" s="9"/>
      <c r="R167" s="8"/>
      <c r="Z167" s="58"/>
      <c r="AA167" s="58"/>
      <c r="AB167" s="58"/>
      <c r="AC167" s="58"/>
      <c r="AD167" s="58"/>
      <c r="AE167" s="58"/>
      <c r="AF167" s="58"/>
      <c r="AG167" s="58"/>
      <c r="AH167" s="58"/>
    </row>
    <row r="168" spans="2:34" x14ac:dyDescent="0.2">
      <c r="B168" s="10"/>
      <c r="C168" s="2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58"/>
      <c r="Q168" s="9"/>
      <c r="R168" s="8"/>
      <c r="Z168" s="58"/>
      <c r="AA168" s="58"/>
      <c r="AB168" s="58"/>
      <c r="AC168" s="58"/>
      <c r="AD168" s="58"/>
      <c r="AE168" s="58"/>
      <c r="AF168" s="58"/>
      <c r="AG168" s="58"/>
      <c r="AH168" s="58"/>
    </row>
    <row r="169" spans="2:34" x14ac:dyDescent="0.2">
      <c r="B169" s="10"/>
      <c r="C169" s="2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58"/>
      <c r="Q169" s="9"/>
      <c r="R169" s="8"/>
      <c r="Z169" s="58"/>
      <c r="AA169" s="58"/>
      <c r="AB169" s="58"/>
      <c r="AC169" s="58"/>
      <c r="AD169" s="58"/>
      <c r="AE169" s="58"/>
      <c r="AF169" s="58"/>
      <c r="AG169" s="58"/>
      <c r="AH169" s="58"/>
    </row>
    <row r="170" spans="2:34" x14ac:dyDescent="0.2">
      <c r="B170" s="10"/>
      <c r="C170" s="2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58"/>
      <c r="Q170" s="9"/>
      <c r="R170" s="8"/>
      <c r="Z170" s="58"/>
      <c r="AA170" s="58"/>
      <c r="AB170" s="58"/>
      <c r="AC170" s="58"/>
      <c r="AD170" s="58"/>
      <c r="AE170" s="58"/>
      <c r="AF170" s="58"/>
      <c r="AG170" s="58"/>
      <c r="AH170" s="58"/>
    </row>
    <row r="171" spans="2:34" x14ac:dyDescent="0.2">
      <c r="B171" s="10"/>
      <c r="C171" s="2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58"/>
      <c r="Q171" s="9"/>
      <c r="R171" s="8"/>
      <c r="Z171" s="58"/>
      <c r="AA171" s="58"/>
      <c r="AB171" s="58"/>
      <c r="AC171" s="58"/>
      <c r="AD171" s="58"/>
      <c r="AE171" s="58"/>
      <c r="AF171" s="58"/>
      <c r="AG171" s="58"/>
      <c r="AH171" s="58"/>
    </row>
    <row r="172" spans="2:34" x14ac:dyDescent="0.2">
      <c r="B172" s="10"/>
      <c r="C172" s="2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58"/>
      <c r="Q172" s="9"/>
      <c r="R172" s="8"/>
      <c r="Z172" s="58"/>
      <c r="AA172" s="58"/>
      <c r="AB172" s="58"/>
      <c r="AC172" s="58"/>
      <c r="AD172" s="58"/>
      <c r="AE172" s="58"/>
      <c r="AF172" s="58"/>
      <c r="AG172" s="58"/>
      <c r="AH172" s="58"/>
    </row>
    <row r="173" spans="2:34" x14ac:dyDescent="0.2">
      <c r="B173" s="10"/>
      <c r="C173" s="2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58"/>
      <c r="Q173" s="9"/>
      <c r="R173" s="8"/>
      <c r="Z173" s="58"/>
      <c r="AA173" s="58"/>
      <c r="AB173" s="58"/>
      <c r="AC173" s="58"/>
      <c r="AD173" s="58"/>
      <c r="AE173" s="58"/>
      <c r="AF173" s="58"/>
      <c r="AG173" s="58"/>
      <c r="AH173" s="58"/>
    </row>
    <row r="174" spans="2:34" x14ac:dyDescent="0.2">
      <c r="B174" s="10"/>
      <c r="C174" s="2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58"/>
      <c r="Q174" s="9"/>
      <c r="R174" s="8"/>
      <c r="Z174" s="58"/>
      <c r="AA174" s="58"/>
      <c r="AB174" s="58"/>
      <c r="AC174" s="58"/>
      <c r="AD174" s="58"/>
      <c r="AE174" s="58"/>
      <c r="AF174" s="58"/>
      <c r="AG174" s="58"/>
      <c r="AH174" s="58"/>
    </row>
    <row r="175" spans="2:34" x14ac:dyDescent="0.2">
      <c r="B175" s="10"/>
      <c r="C175" s="2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58"/>
      <c r="Q175" s="9"/>
      <c r="R175" s="8"/>
      <c r="Z175" s="58"/>
      <c r="AA175" s="58"/>
      <c r="AB175" s="58"/>
      <c r="AC175" s="58"/>
      <c r="AD175" s="58"/>
      <c r="AE175" s="58"/>
      <c r="AF175" s="58"/>
      <c r="AG175" s="58"/>
      <c r="AH175" s="58"/>
    </row>
    <row r="176" spans="2:34" x14ac:dyDescent="0.2">
      <c r="B176" s="10"/>
      <c r="C176" s="2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58"/>
      <c r="Q176" s="9"/>
      <c r="R176" s="8"/>
      <c r="Z176" s="58"/>
      <c r="AA176" s="58"/>
      <c r="AB176" s="58"/>
      <c r="AC176" s="58"/>
      <c r="AD176" s="58"/>
      <c r="AE176" s="58"/>
      <c r="AF176" s="58"/>
      <c r="AG176" s="58"/>
      <c r="AH176" s="58"/>
    </row>
    <row r="177" spans="2:34" x14ac:dyDescent="0.2">
      <c r="B177" s="10"/>
      <c r="C177" s="2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58"/>
      <c r="Q177" s="9"/>
      <c r="R177" s="8"/>
      <c r="Z177" s="58"/>
      <c r="AA177" s="58"/>
      <c r="AB177" s="58"/>
      <c r="AC177" s="58"/>
      <c r="AD177" s="58"/>
      <c r="AE177" s="58"/>
      <c r="AF177" s="58"/>
      <c r="AG177" s="58"/>
      <c r="AH177" s="58"/>
    </row>
    <row r="178" spans="2:34" x14ac:dyDescent="0.2">
      <c r="B178" s="10"/>
      <c r="C178" s="2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58"/>
      <c r="Q178" s="9"/>
      <c r="R178" s="8"/>
      <c r="Z178" s="58"/>
      <c r="AA178" s="58"/>
      <c r="AB178" s="58"/>
      <c r="AC178" s="58"/>
      <c r="AD178" s="58"/>
      <c r="AE178" s="58"/>
      <c r="AF178" s="58"/>
      <c r="AG178" s="58"/>
      <c r="AH178" s="58"/>
    </row>
    <row r="179" spans="2:34" x14ac:dyDescent="0.2">
      <c r="B179" s="10"/>
      <c r="C179" s="2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58"/>
      <c r="Q179" s="9"/>
      <c r="R179" s="8"/>
      <c r="Z179" s="58"/>
      <c r="AA179" s="58"/>
      <c r="AB179" s="58"/>
      <c r="AC179" s="58"/>
      <c r="AD179" s="58"/>
      <c r="AE179" s="58"/>
      <c r="AF179" s="58"/>
      <c r="AG179" s="58"/>
      <c r="AH179" s="58"/>
    </row>
    <row r="180" spans="2:34" x14ac:dyDescent="0.2">
      <c r="B180" s="10"/>
      <c r="C180" s="2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58"/>
      <c r="Q180" s="9"/>
      <c r="R180" s="8"/>
      <c r="Z180" s="58"/>
      <c r="AA180" s="58"/>
      <c r="AB180" s="58"/>
      <c r="AC180" s="58"/>
      <c r="AD180" s="58"/>
      <c r="AE180" s="58"/>
      <c r="AF180" s="58"/>
      <c r="AG180" s="58"/>
      <c r="AH180" s="58"/>
    </row>
    <row r="181" spans="2:34" x14ac:dyDescent="0.2">
      <c r="B181" s="10"/>
      <c r="C181" s="2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58"/>
      <c r="Q181" s="9"/>
      <c r="R181" s="8"/>
      <c r="Z181" s="58"/>
      <c r="AA181" s="58"/>
      <c r="AB181" s="58"/>
      <c r="AC181" s="58"/>
      <c r="AD181" s="58"/>
      <c r="AE181" s="58"/>
      <c r="AF181" s="58"/>
      <c r="AG181" s="58"/>
      <c r="AH181" s="58"/>
    </row>
    <row r="182" spans="2:34" x14ac:dyDescent="0.2">
      <c r="B182" s="10"/>
      <c r="C182" s="2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58"/>
      <c r="Q182" s="9"/>
      <c r="R182" s="8"/>
      <c r="Z182" s="58"/>
      <c r="AA182" s="58"/>
      <c r="AB182" s="58"/>
      <c r="AC182" s="58"/>
      <c r="AD182" s="58"/>
      <c r="AE182" s="58"/>
      <c r="AF182" s="58"/>
      <c r="AG182" s="58"/>
      <c r="AH182" s="58"/>
    </row>
    <row r="183" spans="2:34" x14ac:dyDescent="0.2">
      <c r="B183" s="10"/>
      <c r="C183" s="2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58"/>
      <c r="Q183" s="9"/>
      <c r="R183" s="8"/>
      <c r="Z183" s="58"/>
      <c r="AA183" s="58"/>
      <c r="AB183" s="58"/>
      <c r="AC183" s="58"/>
      <c r="AD183" s="58"/>
      <c r="AE183" s="58"/>
      <c r="AF183" s="58"/>
      <c r="AG183" s="58"/>
      <c r="AH183" s="58"/>
    </row>
    <row r="184" spans="2:34" x14ac:dyDescent="0.2">
      <c r="B184" s="10"/>
      <c r="C184" s="2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58"/>
      <c r="Q184" s="9"/>
      <c r="R184" s="8"/>
      <c r="Z184" s="58"/>
      <c r="AA184" s="58"/>
      <c r="AB184" s="58"/>
      <c r="AC184" s="58"/>
      <c r="AD184" s="58"/>
      <c r="AE184" s="58"/>
      <c r="AF184" s="58"/>
      <c r="AG184" s="58"/>
      <c r="AH184" s="58"/>
    </row>
    <row r="185" spans="2:34" x14ac:dyDescent="0.2">
      <c r="B185" s="10"/>
      <c r="C185" s="2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58"/>
      <c r="Q185" s="9"/>
      <c r="R185" s="8"/>
      <c r="Z185" s="58"/>
      <c r="AA185" s="58"/>
      <c r="AB185" s="58"/>
      <c r="AC185" s="58"/>
      <c r="AD185" s="58"/>
      <c r="AE185" s="58"/>
      <c r="AF185" s="58"/>
      <c r="AG185" s="58"/>
      <c r="AH185" s="58"/>
    </row>
    <row r="186" spans="2:34" x14ac:dyDescent="0.2">
      <c r="B186" s="10"/>
      <c r="C186" s="2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58"/>
      <c r="Q186" s="9"/>
      <c r="R186" s="8"/>
      <c r="Z186" s="58"/>
      <c r="AA186" s="58"/>
      <c r="AB186" s="58"/>
      <c r="AC186" s="58"/>
      <c r="AD186" s="58"/>
      <c r="AE186" s="58"/>
      <c r="AF186" s="58"/>
      <c r="AG186" s="58"/>
      <c r="AH186" s="58"/>
    </row>
    <row r="187" spans="2:34" x14ac:dyDescent="0.2">
      <c r="B187" s="10"/>
      <c r="C187" s="2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58"/>
      <c r="Q187" s="9"/>
      <c r="R187" s="8"/>
      <c r="Z187" s="58"/>
      <c r="AA187" s="58"/>
      <c r="AB187" s="58"/>
      <c r="AC187" s="58"/>
      <c r="AD187" s="58"/>
      <c r="AE187" s="58"/>
      <c r="AF187" s="58"/>
      <c r="AG187" s="58"/>
      <c r="AH187" s="58"/>
    </row>
    <row r="188" spans="2:34" x14ac:dyDescent="0.2">
      <c r="B188" s="10"/>
      <c r="C188" s="2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58"/>
      <c r="Q188" s="9"/>
      <c r="R188" s="8"/>
      <c r="Z188" s="58"/>
      <c r="AA188" s="58"/>
      <c r="AB188" s="58"/>
      <c r="AC188" s="58"/>
      <c r="AD188" s="58"/>
      <c r="AE188" s="58"/>
      <c r="AF188" s="58"/>
      <c r="AG188" s="58"/>
      <c r="AH188" s="58"/>
    </row>
    <row r="189" spans="2:34" x14ac:dyDescent="0.2">
      <c r="B189" s="10"/>
      <c r="C189" s="2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58"/>
      <c r="Q189" s="9"/>
      <c r="R189" s="8"/>
      <c r="Z189" s="58"/>
      <c r="AA189" s="58"/>
      <c r="AB189" s="58"/>
      <c r="AC189" s="58"/>
      <c r="AD189" s="58"/>
      <c r="AE189" s="58"/>
      <c r="AF189" s="58"/>
      <c r="AG189" s="58"/>
      <c r="AH189" s="58"/>
    </row>
    <row r="190" spans="2:34" x14ac:dyDescent="0.2">
      <c r="B190" s="10"/>
      <c r="C190" s="2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58"/>
      <c r="Q190" s="9"/>
      <c r="R190" s="8"/>
      <c r="Z190" s="58"/>
      <c r="AA190" s="58"/>
      <c r="AB190" s="58"/>
      <c r="AC190" s="58"/>
      <c r="AD190" s="58"/>
      <c r="AE190" s="58"/>
      <c r="AF190" s="58"/>
      <c r="AG190" s="58"/>
      <c r="AH190" s="58"/>
    </row>
    <row r="191" spans="2:34" x14ac:dyDescent="0.2">
      <c r="B191" s="10"/>
      <c r="C191" s="2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58"/>
      <c r="Q191" s="9"/>
      <c r="R191" s="8"/>
      <c r="Z191" s="58"/>
      <c r="AA191" s="58"/>
      <c r="AB191" s="58"/>
      <c r="AC191" s="58"/>
      <c r="AD191" s="58"/>
      <c r="AE191" s="58"/>
      <c r="AF191" s="58"/>
      <c r="AG191" s="58"/>
      <c r="AH191" s="58"/>
    </row>
    <row r="192" spans="2:34" x14ac:dyDescent="0.2">
      <c r="B192" s="10"/>
      <c r="C192" s="2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58"/>
      <c r="Q192" s="9"/>
      <c r="R192" s="8"/>
      <c r="Z192" s="58"/>
      <c r="AA192" s="58"/>
      <c r="AB192" s="58"/>
      <c r="AC192" s="58"/>
      <c r="AD192" s="58"/>
      <c r="AE192" s="58"/>
      <c r="AF192" s="58"/>
      <c r="AG192" s="58"/>
      <c r="AH192" s="58"/>
    </row>
    <row r="193" spans="2:34" x14ac:dyDescent="0.2">
      <c r="B193" s="10"/>
      <c r="C193" s="2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58"/>
      <c r="Q193" s="9"/>
      <c r="R193" s="8"/>
      <c r="Z193" s="58"/>
      <c r="AA193" s="58"/>
      <c r="AB193" s="58"/>
      <c r="AC193" s="58"/>
      <c r="AD193" s="58"/>
      <c r="AE193" s="58"/>
      <c r="AF193" s="58"/>
      <c r="AG193" s="58"/>
      <c r="AH193" s="58"/>
    </row>
    <row r="194" spans="2:34" x14ac:dyDescent="0.2">
      <c r="B194" s="10"/>
      <c r="C194" s="2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58"/>
      <c r="Q194" s="9"/>
      <c r="R194" s="8"/>
      <c r="Z194" s="58"/>
      <c r="AA194" s="58"/>
      <c r="AB194" s="58"/>
      <c r="AC194" s="58"/>
      <c r="AD194" s="58"/>
      <c r="AE194" s="58"/>
      <c r="AF194" s="58"/>
      <c r="AG194" s="58"/>
      <c r="AH194" s="58"/>
    </row>
    <row r="195" spans="2:34" x14ac:dyDescent="0.2">
      <c r="B195" s="10"/>
      <c r="C195" s="2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58"/>
      <c r="Q195" s="9"/>
      <c r="R195" s="8"/>
      <c r="Z195" s="58"/>
      <c r="AA195" s="58"/>
      <c r="AB195" s="58"/>
      <c r="AC195" s="58"/>
      <c r="AD195" s="58"/>
      <c r="AE195" s="58"/>
      <c r="AF195" s="58"/>
      <c r="AG195" s="58"/>
      <c r="AH195" s="58"/>
    </row>
    <row r="196" spans="2:34" x14ac:dyDescent="0.2">
      <c r="B196" s="10"/>
      <c r="C196" s="2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58"/>
      <c r="Q196" s="9"/>
      <c r="R196" s="8"/>
      <c r="Z196" s="58"/>
      <c r="AA196" s="58"/>
      <c r="AB196" s="58"/>
      <c r="AC196" s="58"/>
      <c r="AD196" s="58"/>
      <c r="AE196" s="58"/>
      <c r="AF196" s="58"/>
      <c r="AG196" s="58"/>
      <c r="AH196" s="58"/>
    </row>
    <row r="197" spans="2:34" x14ac:dyDescent="0.2">
      <c r="B197" s="10"/>
      <c r="C197" s="2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58"/>
      <c r="Q197" s="9"/>
      <c r="R197" s="8"/>
      <c r="Z197" s="58"/>
      <c r="AA197" s="58"/>
      <c r="AB197" s="58"/>
      <c r="AC197" s="58"/>
      <c r="AD197" s="58"/>
      <c r="AE197" s="58"/>
      <c r="AF197" s="58"/>
      <c r="AG197" s="58"/>
      <c r="AH197" s="58"/>
    </row>
    <row r="198" spans="2:34" x14ac:dyDescent="0.2">
      <c r="B198" s="10"/>
      <c r="C198" s="2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58"/>
      <c r="Q198" s="9"/>
      <c r="R198" s="8"/>
      <c r="Z198" s="58"/>
      <c r="AA198" s="58"/>
      <c r="AB198" s="58"/>
      <c r="AC198" s="58"/>
      <c r="AD198" s="58"/>
      <c r="AE198" s="58"/>
      <c r="AF198" s="58"/>
      <c r="AG198" s="58"/>
      <c r="AH198" s="58"/>
    </row>
    <row r="199" spans="2:34" x14ac:dyDescent="0.2">
      <c r="B199" s="10"/>
      <c r="C199" s="2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58"/>
      <c r="Q199" s="9"/>
      <c r="R199" s="8"/>
      <c r="Z199" s="58"/>
      <c r="AA199" s="58"/>
      <c r="AB199" s="58"/>
      <c r="AC199" s="58"/>
      <c r="AD199" s="58"/>
      <c r="AE199" s="58"/>
      <c r="AF199" s="58"/>
      <c r="AG199" s="58"/>
      <c r="AH199" s="58"/>
    </row>
    <row r="200" spans="2:34" x14ac:dyDescent="0.2">
      <c r="B200" s="10"/>
      <c r="C200" s="2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58"/>
      <c r="Q200" s="9"/>
      <c r="R200" s="8"/>
      <c r="Z200" s="58"/>
      <c r="AA200" s="58"/>
      <c r="AB200" s="58"/>
      <c r="AC200" s="58"/>
      <c r="AD200" s="58"/>
      <c r="AE200" s="58"/>
      <c r="AF200" s="58"/>
      <c r="AG200" s="58"/>
      <c r="AH200" s="58"/>
    </row>
    <row r="201" spans="2:34" x14ac:dyDescent="0.2">
      <c r="B201" s="10"/>
      <c r="C201" s="2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58"/>
      <c r="Q201" s="9"/>
      <c r="R201" s="8"/>
      <c r="Z201" s="58"/>
      <c r="AA201" s="58"/>
      <c r="AB201" s="58"/>
      <c r="AC201" s="58"/>
      <c r="AD201" s="58"/>
      <c r="AE201" s="58"/>
      <c r="AF201" s="58"/>
      <c r="AG201" s="58"/>
      <c r="AH201" s="58"/>
    </row>
    <row r="202" spans="2:34" x14ac:dyDescent="0.2">
      <c r="B202" s="10"/>
      <c r="C202" s="2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58"/>
      <c r="Q202" s="9"/>
      <c r="R202" s="8"/>
      <c r="Z202" s="58"/>
      <c r="AA202" s="58"/>
      <c r="AB202" s="58"/>
      <c r="AC202" s="58"/>
      <c r="AD202" s="58"/>
      <c r="AE202" s="58"/>
      <c r="AF202" s="58"/>
      <c r="AG202" s="58"/>
      <c r="AH202" s="58"/>
    </row>
    <row r="203" spans="2:34" x14ac:dyDescent="0.2">
      <c r="B203" s="10"/>
      <c r="C203" s="2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58"/>
      <c r="Q203" s="9"/>
      <c r="R203" s="8"/>
      <c r="Z203" s="58"/>
      <c r="AA203" s="58"/>
      <c r="AB203" s="58"/>
      <c r="AC203" s="58"/>
      <c r="AD203" s="58"/>
      <c r="AE203" s="58"/>
      <c r="AF203" s="58"/>
      <c r="AG203" s="58"/>
      <c r="AH203" s="58"/>
    </row>
    <row r="204" spans="2:34" x14ac:dyDescent="0.2">
      <c r="B204" s="10"/>
      <c r="C204" s="2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58"/>
      <c r="Q204" s="9"/>
      <c r="R204" s="8"/>
      <c r="Z204" s="58"/>
      <c r="AA204" s="58"/>
      <c r="AB204" s="58"/>
      <c r="AC204" s="58"/>
      <c r="AD204" s="58"/>
      <c r="AE204" s="58"/>
      <c r="AF204" s="58"/>
      <c r="AG204" s="58"/>
      <c r="AH204" s="58"/>
    </row>
    <row r="205" spans="2:34" x14ac:dyDescent="0.2">
      <c r="B205" s="10"/>
      <c r="C205" s="2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58"/>
      <c r="Q205" s="9"/>
      <c r="R205" s="8"/>
      <c r="Z205" s="58"/>
      <c r="AA205" s="58"/>
      <c r="AB205" s="58"/>
      <c r="AC205" s="58"/>
      <c r="AD205" s="58"/>
      <c r="AE205" s="58"/>
      <c r="AF205" s="58"/>
      <c r="AG205" s="58"/>
      <c r="AH205" s="58"/>
    </row>
    <row r="206" spans="2:34" x14ac:dyDescent="0.2">
      <c r="B206" s="10"/>
      <c r="C206" s="2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58"/>
      <c r="Q206" s="9"/>
      <c r="R206" s="8"/>
      <c r="Z206" s="58"/>
      <c r="AA206" s="58"/>
      <c r="AB206" s="58"/>
      <c r="AC206" s="58"/>
      <c r="AD206" s="58"/>
      <c r="AE206" s="58"/>
      <c r="AF206" s="58"/>
      <c r="AG206" s="58"/>
      <c r="AH206" s="58"/>
    </row>
    <row r="207" spans="2:34" x14ac:dyDescent="0.2">
      <c r="B207" s="10"/>
      <c r="C207" s="2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58"/>
      <c r="Q207" s="9"/>
      <c r="R207" s="8"/>
      <c r="Z207" s="58"/>
      <c r="AA207" s="58"/>
      <c r="AB207" s="58"/>
      <c r="AC207" s="58"/>
      <c r="AD207" s="58"/>
      <c r="AE207" s="58"/>
      <c r="AF207" s="58"/>
      <c r="AG207" s="58"/>
      <c r="AH207" s="58"/>
    </row>
    <row r="208" spans="2:34" x14ac:dyDescent="0.2">
      <c r="B208" s="10"/>
      <c r="C208" s="2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58"/>
      <c r="Q208" s="9"/>
      <c r="R208" s="8"/>
      <c r="Z208" s="58"/>
      <c r="AA208" s="58"/>
      <c r="AB208" s="58"/>
      <c r="AC208" s="58"/>
      <c r="AD208" s="58"/>
      <c r="AE208" s="58"/>
      <c r="AF208" s="58"/>
      <c r="AG208" s="58"/>
      <c r="AH208" s="58"/>
    </row>
    <row r="209" spans="2:34" x14ac:dyDescent="0.2">
      <c r="B209" s="10"/>
      <c r="C209" s="2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58"/>
      <c r="Q209" s="9"/>
      <c r="R209" s="8"/>
      <c r="Z209" s="58"/>
      <c r="AA209" s="58"/>
      <c r="AB209" s="58"/>
      <c r="AC209" s="58"/>
      <c r="AD209" s="58"/>
      <c r="AE209" s="58"/>
      <c r="AF209" s="58"/>
      <c r="AG209" s="58"/>
      <c r="AH209" s="58"/>
    </row>
    <row r="210" spans="2:34" x14ac:dyDescent="0.2">
      <c r="B210" s="10"/>
      <c r="C210" s="2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58"/>
      <c r="Q210" s="9"/>
      <c r="R210" s="8"/>
      <c r="Z210" s="58"/>
      <c r="AA210" s="58"/>
      <c r="AB210" s="58"/>
      <c r="AC210" s="58"/>
      <c r="AD210" s="58"/>
      <c r="AE210" s="58"/>
      <c r="AF210" s="58"/>
      <c r="AG210" s="58"/>
      <c r="AH210" s="58"/>
    </row>
    <row r="211" spans="2:34" x14ac:dyDescent="0.2">
      <c r="B211" s="10"/>
      <c r="C211" s="2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58"/>
      <c r="Q211" s="9"/>
      <c r="R211" s="8"/>
      <c r="Z211" s="58"/>
      <c r="AA211" s="58"/>
      <c r="AB211" s="58"/>
      <c r="AC211" s="58"/>
      <c r="AD211" s="58"/>
      <c r="AE211" s="58"/>
      <c r="AF211" s="58"/>
      <c r="AG211" s="58"/>
      <c r="AH211" s="58"/>
    </row>
    <row r="212" spans="2:34" x14ac:dyDescent="0.2">
      <c r="B212" s="10"/>
      <c r="C212" s="2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58"/>
      <c r="Q212" s="9"/>
      <c r="R212" s="8"/>
      <c r="Z212" s="58"/>
      <c r="AA212" s="58"/>
      <c r="AB212" s="58"/>
      <c r="AC212" s="58"/>
      <c r="AD212" s="58"/>
      <c r="AE212" s="58"/>
      <c r="AF212" s="58"/>
      <c r="AG212" s="58"/>
      <c r="AH212" s="58"/>
    </row>
    <row r="213" spans="2:34" ht="10.5" customHeight="1" x14ac:dyDescent="0.2">
      <c r="B213" s="10"/>
      <c r="C213" s="2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58"/>
      <c r="Q213" s="9"/>
      <c r="R213" s="8"/>
      <c r="Z213" s="58"/>
      <c r="AA213" s="58"/>
      <c r="AB213" s="58"/>
      <c r="AC213" s="58"/>
      <c r="AD213" s="58"/>
      <c r="AE213" s="58"/>
      <c r="AF213" s="58"/>
      <c r="AG213" s="58"/>
      <c r="AH213" s="58"/>
    </row>
    <row r="214" spans="2:34" ht="10.5" customHeight="1" x14ac:dyDescent="0.2">
      <c r="B214" s="10"/>
      <c r="C214" s="2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58"/>
      <c r="Q214" s="9"/>
      <c r="R214" s="8"/>
      <c r="Z214" s="58"/>
      <c r="AA214" s="58"/>
      <c r="AB214" s="58"/>
      <c r="AC214" s="58"/>
      <c r="AD214" s="58"/>
      <c r="AE214" s="58"/>
      <c r="AF214" s="58"/>
      <c r="AG214" s="58"/>
      <c r="AH214" s="58"/>
    </row>
    <row r="215" spans="2:34" ht="10.5" customHeight="1" x14ac:dyDescent="0.2">
      <c r="B215" s="10"/>
      <c r="C215" s="2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58"/>
      <c r="Q215" s="9"/>
      <c r="R215" s="8"/>
      <c r="Z215" s="58"/>
      <c r="AA215" s="58"/>
      <c r="AB215" s="58"/>
      <c r="AC215" s="58"/>
      <c r="AD215" s="58"/>
      <c r="AE215" s="58"/>
      <c r="AF215" s="58"/>
      <c r="AG215" s="58"/>
      <c r="AH215" s="58"/>
    </row>
    <row r="216" spans="2:34" ht="10.5" customHeight="1" x14ac:dyDescent="0.2">
      <c r="B216" s="10"/>
      <c r="C216" s="2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58"/>
      <c r="Q216" s="9"/>
      <c r="R216" s="8"/>
      <c r="Z216" s="58"/>
      <c r="AA216" s="58"/>
      <c r="AB216" s="58"/>
      <c r="AC216" s="58"/>
      <c r="AD216" s="58"/>
      <c r="AE216" s="58"/>
      <c r="AF216" s="58"/>
      <c r="AG216" s="58"/>
      <c r="AH216" s="58"/>
    </row>
    <row r="217" spans="2:34" ht="10.5" customHeight="1" x14ac:dyDescent="0.2">
      <c r="B217" s="10"/>
      <c r="C217" s="2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58"/>
      <c r="Q217" s="9"/>
      <c r="R217" s="8"/>
      <c r="Z217" s="58"/>
      <c r="AA217" s="58"/>
      <c r="AB217" s="58"/>
      <c r="AC217" s="58"/>
      <c r="AD217" s="58"/>
      <c r="AE217" s="58"/>
      <c r="AF217" s="58"/>
      <c r="AG217" s="58"/>
      <c r="AH217" s="58"/>
    </row>
    <row r="218" spans="2:34" ht="10.5" customHeight="1" x14ac:dyDescent="0.2">
      <c r="B218" s="10"/>
      <c r="C218" s="2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58"/>
      <c r="Q218" s="9"/>
      <c r="R218" s="8"/>
      <c r="Z218" s="58"/>
      <c r="AA218" s="58"/>
      <c r="AB218" s="58"/>
      <c r="AC218" s="58"/>
      <c r="AD218" s="58"/>
      <c r="AE218" s="58"/>
      <c r="AF218" s="58"/>
      <c r="AG218" s="58"/>
      <c r="AH218" s="58"/>
    </row>
    <row r="219" spans="2:34" ht="10.5" customHeight="1" x14ac:dyDescent="0.2">
      <c r="B219" s="10"/>
      <c r="C219" s="2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58"/>
      <c r="Q219" s="9"/>
      <c r="R219" s="8"/>
      <c r="Z219" s="58"/>
      <c r="AA219" s="58"/>
      <c r="AB219" s="58"/>
      <c r="AC219" s="58"/>
      <c r="AD219" s="58"/>
      <c r="AE219" s="58"/>
      <c r="AF219" s="58"/>
      <c r="AG219" s="58"/>
      <c r="AH219" s="58"/>
    </row>
    <row r="220" spans="2:34" ht="10.5" customHeight="1" x14ac:dyDescent="0.2">
      <c r="B220" s="10"/>
      <c r="C220" s="2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58"/>
      <c r="Q220" s="9"/>
      <c r="R220" s="8"/>
      <c r="Z220" s="58"/>
      <c r="AA220" s="58"/>
      <c r="AB220" s="58"/>
      <c r="AC220" s="58"/>
      <c r="AD220" s="58"/>
      <c r="AE220" s="58"/>
      <c r="AF220" s="58"/>
      <c r="AG220" s="58"/>
      <c r="AH220" s="58"/>
    </row>
    <row r="221" spans="2:34" ht="10.5" customHeight="1" x14ac:dyDescent="0.2">
      <c r="B221" s="10"/>
      <c r="C221" s="2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58"/>
      <c r="Q221" s="9"/>
      <c r="R221" s="8"/>
      <c r="Z221" s="58"/>
      <c r="AA221" s="58"/>
      <c r="AB221" s="58"/>
      <c r="AC221" s="58"/>
      <c r="AD221" s="58"/>
      <c r="AE221" s="58"/>
      <c r="AF221" s="58"/>
      <c r="AG221" s="58"/>
      <c r="AH221" s="58"/>
    </row>
    <row r="222" spans="2:34" ht="10.5" customHeight="1" x14ac:dyDescent="0.2">
      <c r="B222" s="10"/>
      <c r="C222" s="2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58"/>
      <c r="Q222" s="9"/>
      <c r="R222" s="8"/>
      <c r="Z222" s="58"/>
      <c r="AA222" s="58"/>
      <c r="AB222" s="58"/>
      <c r="AC222" s="58"/>
      <c r="AD222" s="58"/>
      <c r="AE222" s="58"/>
      <c r="AF222" s="58"/>
      <c r="AG222" s="58"/>
      <c r="AH222" s="58"/>
    </row>
    <row r="223" spans="2:34" ht="10.5" customHeight="1" x14ac:dyDescent="0.2">
      <c r="B223" s="10"/>
      <c r="C223" s="2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58"/>
      <c r="Q223" s="9"/>
      <c r="R223" s="8"/>
      <c r="Z223" s="58"/>
      <c r="AA223" s="58"/>
      <c r="AB223" s="58"/>
      <c r="AC223" s="58"/>
      <c r="AD223" s="58"/>
      <c r="AE223" s="58"/>
      <c r="AF223" s="58"/>
      <c r="AG223" s="58"/>
      <c r="AH223" s="58"/>
    </row>
    <row r="224" spans="2:34" ht="10.5" customHeight="1" x14ac:dyDescent="0.2">
      <c r="B224" s="10"/>
      <c r="C224" s="2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58"/>
      <c r="Q224" s="9"/>
      <c r="R224" s="8"/>
      <c r="Z224" s="58"/>
      <c r="AA224" s="58"/>
      <c r="AB224" s="58"/>
      <c r="AC224" s="58"/>
      <c r="AD224" s="58"/>
      <c r="AE224" s="58"/>
      <c r="AF224" s="58"/>
      <c r="AG224" s="58"/>
      <c r="AH224" s="58"/>
    </row>
    <row r="225" spans="2:34" ht="10.5" customHeight="1" x14ac:dyDescent="0.2">
      <c r="B225" s="10"/>
      <c r="C225" s="2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58"/>
      <c r="Q225" s="9"/>
      <c r="R225" s="8"/>
      <c r="Z225" s="58"/>
      <c r="AA225" s="58"/>
      <c r="AB225" s="58"/>
      <c r="AC225" s="58"/>
      <c r="AD225" s="58"/>
      <c r="AE225" s="58"/>
      <c r="AF225" s="58"/>
      <c r="AG225" s="58"/>
      <c r="AH225" s="58"/>
    </row>
    <row r="226" spans="2:34" ht="10.5" customHeight="1" x14ac:dyDescent="0.2">
      <c r="B226" s="10"/>
      <c r="C226" s="2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58"/>
      <c r="Q226" s="9"/>
      <c r="R226" s="8"/>
      <c r="Z226" s="58"/>
      <c r="AA226" s="58"/>
      <c r="AB226" s="58"/>
      <c r="AC226" s="58"/>
      <c r="AD226" s="58"/>
      <c r="AE226" s="58"/>
      <c r="AF226" s="58"/>
      <c r="AG226" s="58"/>
      <c r="AH226" s="58"/>
    </row>
    <row r="227" spans="2:34" ht="10.5" customHeight="1" x14ac:dyDescent="0.2">
      <c r="B227" s="10"/>
      <c r="C227" s="2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58"/>
      <c r="Q227" s="9"/>
      <c r="R227" s="8"/>
      <c r="Z227" s="58"/>
      <c r="AA227" s="58"/>
      <c r="AB227" s="58"/>
      <c r="AC227" s="58"/>
      <c r="AD227" s="58"/>
      <c r="AE227" s="58"/>
      <c r="AF227" s="58"/>
      <c r="AG227" s="58"/>
      <c r="AH227" s="58"/>
    </row>
    <row r="228" spans="2:34" ht="10.5" customHeight="1" x14ac:dyDescent="0.2">
      <c r="B228" s="10"/>
      <c r="C228" s="2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58"/>
      <c r="Q228" s="9"/>
      <c r="R228" s="8"/>
      <c r="Z228" s="58"/>
      <c r="AA228" s="58"/>
      <c r="AB228" s="58"/>
      <c r="AC228" s="58"/>
      <c r="AD228" s="58"/>
      <c r="AE228" s="58"/>
      <c r="AF228" s="58"/>
      <c r="AG228" s="58"/>
      <c r="AH228" s="58"/>
    </row>
    <row r="229" spans="2:34" ht="10.5" customHeight="1" x14ac:dyDescent="0.2">
      <c r="B229" s="10"/>
      <c r="C229" s="2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58"/>
      <c r="Q229" s="9"/>
      <c r="R229" s="8"/>
      <c r="Z229" s="58"/>
      <c r="AA229" s="58"/>
      <c r="AB229" s="58"/>
      <c r="AC229" s="58"/>
      <c r="AD229" s="58"/>
      <c r="AE229" s="58"/>
      <c r="AF229" s="58"/>
      <c r="AG229" s="58"/>
      <c r="AH229" s="58"/>
    </row>
    <row r="230" spans="2:34" ht="10.5" customHeight="1" x14ac:dyDescent="0.2">
      <c r="B230" s="10"/>
      <c r="C230" s="2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58"/>
      <c r="Q230" s="9"/>
      <c r="R230" s="8"/>
      <c r="Z230" s="58"/>
      <c r="AA230" s="58"/>
      <c r="AB230" s="58"/>
      <c r="AC230" s="58"/>
      <c r="AD230" s="58"/>
      <c r="AE230" s="58"/>
      <c r="AF230" s="58"/>
      <c r="AG230" s="58"/>
      <c r="AH230" s="58"/>
    </row>
    <row r="231" spans="2:34" ht="10.5" customHeight="1" x14ac:dyDescent="0.2">
      <c r="B231" s="10"/>
      <c r="C231" s="2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58"/>
      <c r="Q231" s="9"/>
      <c r="R231" s="8"/>
      <c r="Z231" s="58"/>
      <c r="AA231" s="58"/>
      <c r="AB231" s="58"/>
      <c r="AC231" s="58"/>
      <c r="AD231" s="58"/>
      <c r="AE231" s="58"/>
      <c r="AF231" s="58"/>
      <c r="AG231" s="58"/>
      <c r="AH231" s="58"/>
    </row>
    <row r="232" spans="2:34" ht="10.5" customHeight="1" x14ac:dyDescent="0.2">
      <c r="B232" s="10"/>
      <c r="C232" s="2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58"/>
      <c r="Q232" s="9"/>
      <c r="R232" s="8"/>
      <c r="Z232" s="58"/>
      <c r="AA232" s="58"/>
      <c r="AB232" s="58"/>
      <c r="AC232" s="58"/>
      <c r="AD232" s="58"/>
      <c r="AE232" s="58"/>
      <c r="AF232" s="58"/>
      <c r="AG232" s="58"/>
      <c r="AH232" s="58"/>
    </row>
    <row r="233" spans="2:34" ht="10.5" customHeight="1" x14ac:dyDescent="0.2">
      <c r="B233" s="10"/>
      <c r="C233" s="2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58"/>
      <c r="Q233" s="9"/>
      <c r="R233" s="8"/>
      <c r="Z233" s="58"/>
      <c r="AA233" s="58"/>
      <c r="AB233" s="58"/>
      <c r="AC233" s="58"/>
      <c r="AD233" s="58"/>
      <c r="AE233" s="58"/>
      <c r="AF233" s="58"/>
      <c r="AG233" s="58"/>
      <c r="AH233" s="58"/>
    </row>
    <row r="234" spans="2:34" ht="10.5" customHeight="1" x14ac:dyDescent="0.2">
      <c r="B234" s="10"/>
      <c r="C234" s="2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58"/>
      <c r="Q234" s="9"/>
      <c r="R234" s="8"/>
      <c r="Z234" s="58"/>
      <c r="AA234" s="58"/>
      <c r="AB234" s="58"/>
      <c r="AC234" s="58"/>
      <c r="AD234" s="58"/>
      <c r="AE234" s="58"/>
      <c r="AF234" s="58"/>
      <c r="AG234" s="58"/>
      <c r="AH234" s="58"/>
    </row>
    <row r="235" spans="2:34" ht="10.5" customHeight="1" x14ac:dyDescent="0.2">
      <c r="B235" s="10"/>
      <c r="C235" s="2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58"/>
      <c r="Q235" s="9"/>
      <c r="R235" s="8"/>
      <c r="Z235" s="58"/>
      <c r="AA235" s="58"/>
      <c r="AB235" s="58"/>
      <c r="AC235" s="58"/>
      <c r="AD235" s="58"/>
      <c r="AE235" s="58"/>
      <c r="AF235" s="58"/>
      <c r="AG235" s="58"/>
      <c r="AH235" s="58"/>
    </row>
    <row r="236" spans="2:34" ht="10.5" customHeight="1" x14ac:dyDescent="0.2">
      <c r="B236" s="10"/>
      <c r="C236" s="2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58"/>
      <c r="Q236" s="9"/>
      <c r="R236" s="8"/>
      <c r="Z236" s="58"/>
      <c r="AA236" s="58"/>
      <c r="AB236" s="58"/>
      <c r="AC236" s="58"/>
      <c r="AD236" s="58"/>
      <c r="AE236" s="58"/>
      <c r="AF236" s="58"/>
      <c r="AG236" s="58"/>
      <c r="AH236" s="58"/>
    </row>
    <row r="237" spans="2:34" ht="10.5" customHeight="1" x14ac:dyDescent="0.2">
      <c r="B237" s="10"/>
      <c r="C237" s="2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58"/>
      <c r="Q237" s="9"/>
      <c r="R237" s="8"/>
      <c r="Z237" s="58"/>
      <c r="AA237" s="58"/>
      <c r="AB237" s="58"/>
      <c r="AC237" s="58"/>
      <c r="AD237" s="58"/>
      <c r="AE237" s="58"/>
      <c r="AF237" s="58"/>
      <c r="AG237" s="58"/>
      <c r="AH237" s="58"/>
    </row>
    <row r="238" spans="2:34" ht="10.5" customHeight="1" x14ac:dyDescent="0.2">
      <c r="B238" s="10"/>
      <c r="C238" s="2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58"/>
      <c r="Q238" s="9"/>
      <c r="R238" s="8"/>
      <c r="Z238" s="58"/>
      <c r="AA238" s="58"/>
      <c r="AB238" s="58"/>
      <c r="AC238" s="58"/>
      <c r="AD238" s="58"/>
      <c r="AE238" s="58"/>
      <c r="AF238" s="58"/>
      <c r="AG238" s="58"/>
      <c r="AH238" s="58"/>
    </row>
    <row r="239" spans="2:34" ht="12" customHeight="1" x14ac:dyDescent="0.2">
      <c r="B239" s="10"/>
      <c r="C239" s="2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58"/>
      <c r="Q239" s="9"/>
      <c r="R239" s="8"/>
      <c r="Z239" s="58"/>
      <c r="AA239" s="58"/>
      <c r="AB239" s="58"/>
      <c r="AC239" s="58"/>
      <c r="AD239" s="58"/>
      <c r="AE239" s="58"/>
      <c r="AF239" s="58"/>
      <c r="AG239" s="58"/>
      <c r="AH239" s="58"/>
    </row>
    <row r="240" spans="2:34" ht="12" customHeight="1" x14ac:dyDescent="0.2">
      <c r="B240" s="10"/>
      <c r="C240" s="2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58"/>
      <c r="Q240" s="9"/>
      <c r="R240" s="8"/>
      <c r="Z240" s="58"/>
      <c r="AA240" s="58"/>
      <c r="AB240" s="58"/>
      <c r="AC240" s="58"/>
      <c r="AD240" s="58"/>
      <c r="AE240" s="58"/>
      <c r="AF240" s="58"/>
      <c r="AG240" s="58"/>
      <c r="AH240" s="58"/>
    </row>
    <row r="241" spans="1:34" ht="12" customHeight="1" x14ac:dyDescent="0.2">
      <c r="B241" s="10"/>
      <c r="C241" s="2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58"/>
      <c r="Q241" s="9"/>
      <c r="R241" s="8"/>
      <c r="Z241" s="58"/>
      <c r="AA241" s="58"/>
      <c r="AB241" s="58"/>
      <c r="AC241" s="58"/>
      <c r="AD241" s="58"/>
      <c r="AE241" s="58"/>
      <c r="AF241" s="58"/>
      <c r="AG241" s="58"/>
      <c r="AH241" s="58"/>
    </row>
    <row r="242" spans="1:34" ht="12" customHeight="1" x14ac:dyDescent="0.2">
      <c r="B242" s="10"/>
      <c r="C242" s="2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58"/>
      <c r="Q242" s="9"/>
      <c r="R242" s="8"/>
      <c r="Z242" s="58"/>
      <c r="AA242" s="58"/>
      <c r="AB242" s="58"/>
      <c r="AC242" s="58"/>
      <c r="AD242" s="58"/>
      <c r="AE242" s="58"/>
      <c r="AF242" s="58"/>
      <c r="AG242" s="58"/>
      <c r="AH242" s="58"/>
    </row>
    <row r="243" spans="1:34" ht="12" customHeight="1" x14ac:dyDescent="0.2">
      <c r="B243" s="10"/>
      <c r="C243" s="2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58"/>
      <c r="Q243" s="9"/>
      <c r="R243" s="8"/>
      <c r="Z243" s="58"/>
      <c r="AA243" s="58"/>
      <c r="AB243" s="58"/>
      <c r="AC243" s="58"/>
      <c r="AD243" s="58"/>
      <c r="AE243" s="58"/>
      <c r="AF243" s="58"/>
      <c r="AG243" s="58"/>
      <c r="AH243" s="58"/>
    </row>
    <row r="244" spans="1:34" ht="12" customHeight="1" x14ac:dyDescent="0.2">
      <c r="B244" s="10"/>
      <c r="C244" s="2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58"/>
      <c r="Q244" s="9"/>
      <c r="R244" s="8"/>
      <c r="Z244" s="58"/>
      <c r="AA244" s="58"/>
      <c r="AB244" s="58"/>
      <c r="AC244" s="58"/>
      <c r="AD244" s="58"/>
      <c r="AE244" s="58"/>
      <c r="AF244" s="58"/>
      <c r="AG244" s="58"/>
      <c r="AH244" s="58"/>
    </row>
    <row r="245" spans="1:34" ht="12" customHeight="1" x14ac:dyDescent="0.2">
      <c r="B245" s="10"/>
      <c r="C245" s="2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58"/>
      <c r="Q245" s="9"/>
      <c r="R245" s="8"/>
      <c r="Z245" s="58"/>
      <c r="AA245" s="58"/>
      <c r="AB245" s="58"/>
      <c r="AC245" s="58"/>
      <c r="AD245" s="58"/>
      <c r="AE245" s="58"/>
      <c r="AF245" s="58"/>
      <c r="AG245" s="58"/>
      <c r="AH245" s="58"/>
    </row>
    <row r="246" spans="1:34" ht="12" customHeight="1" x14ac:dyDescent="0.2">
      <c r="B246" s="10"/>
      <c r="C246" s="2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58"/>
      <c r="Q246" s="9"/>
      <c r="R246" s="8"/>
      <c r="Z246" s="58"/>
      <c r="AA246" s="58"/>
      <c r="AB246" s="58"/>
      <c r="AC246" s="58"/>
      <c r="AD246" s="58"/>
      <c r="AE246" s="58"/>
      <c r="AF246" s="58"/>
      <c r="AG246" s="58"/>
      <c r="AH246" s="58"/>
    </row>
    <row r="247" spans="1:34" ht="12" customHeight="1" x14ac:dyDescent="0.2">
      <c r="B247" s="10"/>
      <c r="C247" s="2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58"/>
      <c r="Q247" s="9"/>
      <c r="R247" s="8"/>
      <c r="Z247" s="58"/>
      <c r="AA247" s="58"/>
      <c r="AB247" s="58"/>
      <c r="AC247" s="58"/>
      <c r="AD247" s="58"/>
      <c r="AE247" s="58"/>
      <c r="AF247" s="58"/>
      <c r="AG247" s="58"/>
      <c r="AH247" s="58"/>
    </row>
    <row r="248" spans="1:34" ht="12" customHeight="1" x14ac:dyDescent="0.2">
      <c r="B248" s="10"/>
      <c r="C248" s="2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58"/>
      <c r="Q248" s="9"/>
      <c r="R248" s="8"/>
      <c r="Z248" s="58"/>
      <c r="AA248" s="58"/>
      <c r="AB248" s="58"/>
      <c r="AC248" s="58"/>
      <c r="AD248" s="58"/>
      <c r="AE248" s="58"/>
      <c r="AF248" s="58"/>
      <c r="AG248" s="58"/>
      <c r="AH248" s="58"/>
    </row>
    <row r="249" spans="1:34" ht="12" customHeight="1" x14ac:dyDescent="0.2">
      <c r="B249" s="10"/>
      <c r="C249" s="2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58"/>
      <c r="Q249" s="9"/>
      <c r="R249" s="8"/>
      <c r="Z249" s="58"/>
      <c r="AA249" s="58"/>
      <c r="AB249" s="58"/>
      <c r="AC249" s="58"/>
      <c r="AD249" s="58"/>
      <c r="AE249" s="58"/>
      <c r="AF249" s="58"/>
      <c r="AG249" s="58"/>
      <c r="AH249" s="58"/>
    </row>
    <row r="250" spans="1:34" ht="12" customHeight="1" x14ac:dyDescent="0.2">
      <c r="B250" s="10"/>
      <c r="C250" s="2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58"/>
      <c r="Q250" s="9"/>
      <c r="R250" s="8"/>
      <c r="Z250" s="58"/>
      <c r="AA250" s="58"/>
      <c r="AB250" s="58"/>
      <c r="AC250" s="58"/>
      <c r="AD250" s="58"/>
      <c r="AE250" s="58"/>
      <c r="AF250" s="58"/>
      <c r="AG250" s="58"/>
      <c r="AH250" s="58"/>
    </row>
    <row r="251" spans="1:34" ht="12" customHeight="1" x14ac:dyDescent="0.2">
      <c r="A251" s="58" t="s">
        <v>24</v>
      </c>
      <c r="B251" s="10"/>
      <c r="C251" s="2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58"/>
      <c r="Q251" s="9"/>
      <c r="R251" s="8"/>
      <c r="Z251" s="58"/>
      <c r="AA251" s="58"/>
      <c r="AB251" s="58"/>
      <c r="AC251" s="58"/>
      <c r="AD251" s="58"/>
      <c r="AE251" s="58"/>
      <c r="AF251" s="58"/>
      <c r="AG251" s="58"/>
      <c r="AH251" s="58"/>
    </row>
    <row r="252" spans="1:34" ht="12" customHeight="1" x14ac:dyDescent="0.2">
      <c r="B252" s="10"/>
      <c r="C252" s="2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58"/>
      <c r="Q252" s="9"/>
      <c r="R252" s="8"/>
      <c r="Z252" s="58"/>
      <c r="AA252" s="58"/>
      <c r="AB252" s="58"/>
      <c r="AC252" s="58"/>
      <c r="AD252" s="58"/>
      <c r="AE252" s="58"/>
      <c r="AF252" s="58"/>
      <c r="AG252" s="58"/>
      <c r="AH252" s="58"/>
    </row>
    <row r="253" spans="1:34" ht="12" customHeight="1" x14ac:dyDescent="0.2">
      <c r="B253" s="10"/>
      <c r="C253" s="2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58"/>
      <c r="Q253" s="9"/>
      <c r="R253" s="8"/>
      <c r="Z253" s="58"/>
      <c r="AA253" s="58"/>
      <c r="AB253" s="58"/>
      <c r="AC253" s="58"/>
      <c r="AD253" s="58"/>
      <c r="AE253" s="58"/>
      <c r="AF253" s="58"/>
      <c r="AG253" s="58"/>
      <c r="AH253" s="58"/>
    </row>
    <row r="254" spans="1:34" ht="12" customHeight="1" x14ac:dyDescent="0.2">
      <c r="B254" s="10"/>
      <c r="C254" s="2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58"/>
      <c r="Q254" s="9"/>
      <c r="R254" s="8"/>
      <c r="Z254" s="58"/>
      <c r="AA254" s="58"/>
      <c r="AB254" s="58"/>
      <c r="AC254" s="58"/>
      <c r="AD254" s="58"/>
      <c r="AE254" s="58"/>
      <c r="AF254" s="58"/>
      <c r="AG254" s="58"/>
      <c r="AH254" s="58"/>
    </row>
    <row r="255" spans="1:34" ht="12" customHeight="1" x14ac:dyDescent="0.2">
      <c r="B255" s="10"/>
      <c r="C255" s="2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58"/>
      <c r="Q255" s="9"/>
      <c r="R255" s="8"/>
      <c r="Z255" s="58"/>
      <c r="AA255" s="58"/>
      <c r="AB255" s="58"/>
      <c r="AC255" s="58"/>
      <c r="AD255" s="58"/>
      <c r="AE255" s="58"/>
      <c r="AF255" s="58"/>
      <c r="AG255" s="58"/>
      <c r="AH255" s="58"/>
    </row>
    <row r="256" spans="1:34" ht="12" customHeight="1" x14ac:dyDescent="0.2">
      <c r="B256" s="10"/>
      <c r="C256" s="2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58"/>
      <c r="Q256" s="9"/>
      <c r="R256" s="8"/>
      <c r="Z256" s="58"/>
      <c r="AA256" s="58"/>
      <c r="AB256" s="58"/>
      <c r="AC256" s="58"/>
      <c r="AD256" s="58"/>
      <c r="AE256" s="58"/>
      <c r="AF256" s="58"/>
      <c r="AG256" s="58"/>
      <c r="AH256" s="58"/>
    </row>
    <row r="257" spans="2:34" ht="12" customHeight="1" x14ac:dyDescent="0.2">
      <c r="B257" s="10"/>
      <c r="C257" s="2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58"/>
      <c r="Q257" s="9"/>
      <c r="R257" s="8"/>
      <c r="Z257" s="58"/>
      <c r="AA257" s="58"/>
      <c r="AB257" s="58"/>
      <c r="AC257" s="58"/>
      <c r="AD257" s="58"/>
      <c r="AE257" s="58"/>
      <c r="AF257" s="58"/>
      <c r="AG257" s="58"/>
      <c r="AH257" s="58"/>
    </row>
    <row r="258" spans="2:34" ht="12" customHeight="1" x14ac:dyDescent="0.2">
      <c r="B258" s="10"/>
      <c r="C258" s="2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58"/>
      <c r="Q258" s="9"/>
      <c r="R258" s="8"/>
      <c r="Z258" s="58"/>
      <c r="AA258" s="58"/>
      <c r="AB258" s="58"/>
      <c r="AC258" s="58"/>
      <c r="AD258" s="58"/>
      <c r="AE258" s="58"/>
      <c r="AF258" s="58"/>
      <c r="AG258" s="58"/>
      <c r="AH258" s="58"/>
    </row>
    <row r="259" spans="2:34" ht="12" customHeight="1" x14ac:dyDescent="0.2">
      <c r="B259" s="10"/>
      <c r="C259" s="2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58"/>
      <c r="Q259" s="9"/>
      <c r="R259" s="8"/>
      <c r="Z259" s="58"/>
      <c r="AA259" s="58"/>
      <c r="AB259" s="58"/>
      <c r="AC259" s="58"/>
      <c r="AD259" s="58"/>
      <c r="AE259" s="58"/>
      <c r="AF259" s="58"/>
      <c r="AG259" s="58"/>
      <c r="AH259" s="58"/>
    </row>
    <row r="260" spans="2:34" ht="12" customHeight="1" x14ac:dyDescent="0.2">
      <c r="B260" s="10"/>
      <c r="C260" s="2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58"/>
      <c r="Q260" s="9"/>
      <c r="R260" s="8"/>
      <c r="Z260" s="58"/>
      <c r="AA260" s="58"/>
      <c r="AB260" s="58"/>
      <c r="AC260" s="58"/>
      <c r="AD260" s="58"/>
      <c r="AE260" s="58"/>
      <c r="AF260" s="58"/>
      <c r="AG260" s="58"/>
      <c r="AH260" s="58"/>
    </row>
    <row r="261" spans="2:34" ht="12" customHeight="1" x14ac:dyDescent="0.2">
      <c r="B261" s="10"/>
      <c r="C261" s="2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58"/>
      <c r="Q261" s="9"/>
      <c r="R261" s="8"/>
      <c r="Z261" s="58"/>
      <c r="AA261" s="58"/>
      <c r="AB261" s="58"/>
      <c r="AC261" s="58"/>
      <c r="AD261" s="58"/>
      <c r="AE261" s="58"/>
      <c r="AF261" s="58"/>
      <c r="AG261" s="58"/>
      <c r="AH261" s="58"/>
    </row>
    <row r="262" spans="2:34" ht="12" customHeight="1" x14ac:dyDescent="0.2">
      <c r="B262" s="10"/>
      <c r="C262" s="2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58"/>
      <c r="Q262" s="9"/>
      <c r="R262" s="8"/>
      <c r="Z262" s="58"/>
      <c r="AA262" s="58"/>
      <c r="AB262" s="58"/>
      <c r="AC262" s="58"/>
      <c r="AD262" s="58"/>
      <c r="AE262" s="58"/>
      <c r="AF262" s="58"/>
      <c r="AG262" s="58"/>
      <c r="AH262" s="58"/>
    </row>
    <row r="263" spans="2:34" ht="12" customHeight="1" x14ac:dyDescent="0.2">
      <c r="B263" s="10"/>
      <c r="C263" s="2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58"/>
      <c r="Q263" s="9"/>
      <c r="R263" s="8"/>
      <c r="Z263" s="58"/>
      <c r="AA263" s="58"/>
      <c r="AB263" s="58"/>
      <c r="AC263" s="58"/>
      <c r="AD263" s="58"/>
      <c r="AE263" s="58"/>
      <c r="AF263" s="58"/>
      <c r="AG263" s="58"/>
      <c r="AH263" s="58"/>
    </row>
    <row r="264" spans="2:34" ht="12" customHeight="1" x14ac:dyDescent="0.2">
      <c r="B264" s="10"/>
      <c r="C264" s="2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58"/>
      <c r="Q264" s="9"/>
      <c r="R264" s="8"/>
      <c r="Z264" s="58"/>
      <c r="AA264" s="58"/>
      <c r="AB264" s="58"/>
      <c r="AC264" s="58"/>
      <c r="AD264" s="58"/>
      <c r="AE264" s="58"/>
      <c r="AF264" s="58"/>
      <c r="AG264" s="58"/>
      <c r="AH264" s="58"/>
    </row>
    <row r="265" spans="2:34" ht="12" customHeight="1" x14ac:dyDescent="0.2">
      <c r="B265" s="10"/>
      <c r="C265" s="2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58"/>
      <c r="Q265" s="9"/>
      <c r="R265" s="8"/>
      <c r="Z265" s="58"/>
      <c r="AA265" s="58"/>
      <c r="AB265" s="58"/>
      <c r="AC265" s="58"/>
      <c r="AD265" s="58"/>
      <c r="AE265" s="58"/>
      <c r="AF265" s="58"/>
      <c r="AG265" s="58"/>
      <c r="AH265" s="58"/>
    </row>
    <row r="266" spans="2:34" ht="12" customHeight="1" x14ac:dyDescent="0.2">
      <c r="B266" s="10"/>
      <c r="C266" s="2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58"/>
      <c r="Q266" s="9"/>
      <c r="R266" s="8"/>
      <c r="Z266" s="58"/>
      <c r="AA266" s="58"/>
      <c r="AB266" s="58"/>
      <c r="AC266" s="58"/>
      <c r="AD266" s="58"/>
      <c r="AE266" s="58"/>
      <c r="AF266" s="58"/>
      <c r="AG266" s="58"/>
      <c r="AH266" s="58"/>
    </row>
    <row r="267" spans="2:34" ht="12" customHeight="1" x14ac:dyDescent="0.2">
      <c r="B267" s="10"/>
      <c r="C267" s="2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58"/>
      <c r="Q267" s="9"/>
      <c r="R267" s="8"/>
      <c r="Z267" s="58"/>
      <c r="AA267" s="58"/>
      <c r="AB267" s="58"/>
      <c r="AC267" s="58"/>
      <c r="AD267" s="58"/>
      <c r="AE267" s="58"/>
      <c r="AF267" s="58"/>
      <c r="AG267" s="58"/>
      <c r="AH267" s="58"/>
    </row>
    <row r="268" spans="2:34" ht="12" customHeight="1" x14ac:dyDescent="0.2">
      <c r="B268" s="10"/>
      <c r="C268" s="2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58"/>
      <c r="Q268" s="9"/>
      <c r="R268" s="8"/>
      <c r="Z268" s="58"/>
      <c r="AA268" s="58"/>
      <c r="AB268" s="58"/>
      <c r="AC268" s="58"/>
      <c r="AD268" s="58"/>
      <c r="AE268" s="58"/>
      <c r="AF268" s="58"/>
      <c r="AG268" s="58"/>
      <c r="AH268" s="58"/>
    </row>
    <row r="269" spans="2:34" ht="12" customHeight="1" x14ac:dyDescent="0.2">
      <c r="B269" s="10"/>
      <c r="C269" s="2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58"/>
      <c r="Q269" s="9"/>
      <c r="R269" s="8"/>
      <c r="Z269" s="58"/>
      <c r="AA269" s="58"/>
      <c r="AB269" s="58"/>
      <c r="AC269" s="58"/>
      <c r="AD269" s="58"/>
      <c r="AE269" s="58"/>
      <c r="AF269" s="58"/>
      <c r="AG269" s="58"/>
      <c r="AH269" s="58"/>
    </row>
    <row r="270" spans="2:34" ht="12" customHeight="1" x14ac:dyDescent="0.2">
      <c r="B270" s="10"/>
      <c r="C270" s="2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58"/>
      <c r="Q270" s="9"/>
      <c r="R270" s="8"/>
      <c r="Z270" s="58"/>
      <c r="AA270" s="58"/>
      <c r="AB270" s="58"/>
      <c r="AC270" s="58"/>
      <c r="AD270" s="58"/>
      <c r="AE270" s="58"/>
      <c r="AF270" s="58"/>
      <c r="AG270" s="58"/>
      <c r="AH270" s="58"/>
    </row>
    <row r="271" spans="2:34" ht="12" customHeight="1" x14ac:dyDescent="0.2">
      <c r="B271" s="10"/>
      <c r="C271" s="2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58"/>
      <c r="Q271" s="9"/>
      <c r="R271" s="8"/>
      <c r="Z271" s="58"/>
      <c r="AA271" s="58"/>
      <c r="AB271" s="58"/>
      <c r="AC271" s="58"/>
      <c r="AD271" s="58"/>
      <c r="AE271" s="58"/>
      <c r="AF271" s="58"/>
      <c r="AG271" s="58"/>
      <c r="AH271" s="58"/>
    </row>
    <row r="272" spans="2:34" ht="12" customHeight="1" x14ac:dyDescent="0.2">
      <c r="B272" s="10"/>
      <c r="C272" s="2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58"/>
      <c r="Q272" s="9"/>
      <c r="R272" s="8"/>
      <c r="Z272" s="58"/>
      <c r="AA272" s="58"/>
      <c r="AB272" s="58"/>
      <c r="AC272" s="58"/>
      <c r="AD272" s="58"/>
      <c r="AE272" s="58"/>
      <c r="AF272" s="58"/>
      <c r="AG272" s="58"/>
      <c r="AH272" s="58"/>
    </row>
    <row r="273" spans="2:34" ht="12" customHeight="1" x14ac:dyDescent="0.2">
      <c r="B273" s="10"/>
      <c r="C273" s="2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58"/>
      <c r="Q273" s="9"/>
      <c r="R273" s="8"/>
      <c r="Z273" s="58"/>
      <c r="AA273" s="58"/>
      <c r="AB273" s="58"/>
      <c r="AC273" s="58"/>
      <c r="AD273" s="58"/>
      <c r="AE273" s="58"/>
      <c r="AF273" s="58"/>
      <c r="AG273" s="58"/>
      <c r="AH273" s="58"/>
    </row>
    <row r="274" spans="2:34" ht="12" customHeight="1" x14ac:dyDescent="0.2">
      <c r="B274" s="10"/>
      <c r="C274" s="2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58"/>
      <c r="Q274" s="9"/>
      <c r="R274" s="8"/>
      <c r="Z274" s="58"/>
      <c r="AA274" s="58"/>
      <c r="AB274" s="58"/>
      <c r="AC274" s="58"/>
      <c r="AD274" s="58"/>
      <c r="AE274" s="58"/>
      <c r="AF274" s="58"/>
      <c r="AG274" s="58"/>
      <c r="AH274" s="58"/>
    </row>
    <row r="275" spans="2:34" ht="12" customHeight="1" x14ac:dyDescent="0.2">
      <c r="B275" s="10"/>
      <c r="C275" s="2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58"/>
      <c r="Q275" s="9"/>
      <c r="R275" s="8"/>
      <c r="Z275" s="58"/>
      <c r="AA275" s="58"/>
      <c r="AB275" s="58"/>
      <c r="AC275" s="58"/>
      <c r="AD275" s="58"/>
      <c r="AE275" s="58"/>
      <c r="AF275" s="58"/>
      <c r="AG275" s="58"/>
      <c r="AH275" s="58"/>
    </row>
    <row r="276" spans="2:34" ht="12" customHeight="1" x14ac:dyDescent="0.2">
      <c r="B276" s="10"/>
      <c r="C276" s="2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58"/>
      <c r="Q276" s="9"/>
      <c r="R276" s="8"/>
      <c r="Z276" s="58"/>
      <c r="AA276" s="58"/>
      <c r="AB276" s="58"/>
      <c r="AC276" s="58"/>
      <c r="AD276" s="58"/>
      <c r="AE276" s="58"/>
      <c r="AF276" s="58"/>
      <c r="AG276" s="58"/>
      <c r="AH276" s="58"/>
    </row>
    <row r="277" spans="2:34" ht="12" customHeight="1" x14ac:dyDescent="0.2">
      <c r="B277" s="10"/>
      <c r="C277" s="2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58"/>
      <c r="Q277" s="9"/>
      <c r="R277" s="8"/>
      <c r="Z277" s="58"/>
      <c r="AA277" s="58"/>
      <c r="AB277" s="58"/>
      <c r="AC277" s="58"/>
      <c r="AD277" s="58"/>
      <c r="AE277" s="58"/>
      <c r="AF277" s="58"/>
      <c r="AG277" s="58"/>
      <c r="AH277" s="58"/>
    </row>
    <row r="278" spans="2:34" ht="12" customHeight="1" x14ac:dyDescent="0.2">
      <c r="B278" s="10"/>
      <c r="C278" s="2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58"/>
      <c r="Q278" s="9"/>
      <c r="R278" s="8"/>
      <c r="Z278" s="58"/>
      <c r="AA278" s="58"/>
      <c r="AB278" s="58"/>
      <c r="AC278" s="58"/>
      <c r="AD278" s="58"/>
      <c r="AE278" s="58"/>
      <c r="AF278" s="58"/>
      <c r="AG278" s="58"/>
      <c r="AH278" s="58"/>
    </row>
    <row r="279" spans="2:34" ht="12" customHeight="1" x14ac:dyDescent="0.2">
      <c r="B279" s="10"/>
      <c r="C279" s="2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58"/>
      <c r="Q279" s="9"/>
      <c r="R279" s="8"/>
      <c r="Z279" s="58"/>
      <c r="AA279" s="58"/>
      <c r="AB279" s="58"/>
      <c r="AC279" s="58"/>
      <c r="AD279" s="58"/>
      <c r="AE279" s="58"/>
      <c r="AF279" s="58"/>
      <c r="AG279" s="58"/>
      <c r="AH279" s="58"/>
    </row>
    <row r="280" spans="2:34" ht="12" customHeight="1" x14ac:dyDescent="0.2">
      <c r="B280" s="10"/>
      <c r="C280" s="2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58"/>
      <c r="Q280" s="9"/>
      <c r="R280" s="8"/>
      <c r="Z280" s="58"/>
      <c r="AA280" s="58"/>
      <c r="AB280" s="58"/>
      <c r="AC280" s="58"/>
      <c r="AD280" s="58"/>
      <c r="AE280" s="58"/>
      <c r="AF280" s="58"/>
      <c r="AG280" s="58"/>
      <c r="AH280" s="58"/>
    </row>
    <row r="281" spans="2:34" ht="12" customHeight="1" x14ac:dyDescent="0.2">
      <c r="B281" s="10"/>
      <c r="C281" s="2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58"/>
      <c r="Q281" s="9"/>
      <c r="R281" s="8"/>
      <c r="Z281" s="58"/>
      <c r="AA281" s="58"/>
      <c r="AB281" s="58"/>
      <c r="AC281" s="58"/>
      <c r="AD281" s="58"/>
      <c r="AE281" s="58"/>
      <c r="AF281" s="58"/>
      <c r="AG281" s="58"/>
      <c r="AH281" s="58"/>
    </row>
    <row r="282" spans="2:34" ht="12" customHeight="1" x14ac:dyDescent="0.2">
      <c r="B282" s="10"/>
      <c r="C282" s="2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58"/>
      <c r="Q282" s="9"/>
      <c r="R282" s="8"/>
      <c r="Z282" s="58"/>
      <c r="AA282" s="58"/>
      <c r="AB282" s="58"/>
      <c r="AC282" s="58"/>
      <c r="AD282" s="58"/>
      <c r="AE282" s="58"/>
      <c r="AF282" s="58"/>
      <c r="AG282" s="58"/>
      <c r="AH282" s="58"/>
    </row>
    <row r="283" spans="2:34" ht="12" customHeight="1" x14ac:dyDescent="0.2">
      <c r="B283" s="10"/>
      <c r="C283" s="2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58"/>
      <c r="Q283" s="9"/>
      <c r="R283" s="8"/>
      <c r="Z283" s="58"/>
      <c r="AA283" s="58"/>
      <c r="AB283" s="58"/>
      <c r="AC283" s="58"/>
      <c r="AD283" s="58"/>
      <c r="AE283" s="58"/>
      <c r="AF283" s="58"/>
      <c r="AG283" s="58"/>
      <c r="AH283" s="58"/>
    </row>
    <row r="284" spans="2:34" ht="12" customHeight="1" x14ac:dyDescent="0.2">
      <c r="B284" s="10"/>
      <c r="C284" s="2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58"/>
      <c r="Q284" s="9"/>
      <c r="R284" s="8"/>
      <c r="Z284" s="58"/>
      <c r="AA284" s="58"/>
      <c r="AB284" s="58"/>
      <c r="AC284" s="58"/>
      <c r="AD284" s="58"/>
      <c r="AE284" s="58"/>
      <c r="AF284" s="58"/>
      <c r="AG284" s="58"/>
      <c r="AH284" s="58"/>
    </row>
    <row r="285" spans="2:34" ht="12" customHeight="1" x14ac:dyDescent="0.2">
      <c r="P285" s="58"/>
      <c r="Z285" s="58"/>
      <c r="AA285" s="58"/>
      <c r="AB285" s="58"/>
      <c r="AC285" s="58"/>
      <c r="AD285" s="58"/>
      <c r="AE285" s="58"/>
      <c r="AF285" s="58"/>
      <c r="AG285" s="58"/>
      <c r="AH285" s="58"/>
    </row>
    <row r="286" spans="2:34" ht="12" customHeight="1" x14ac:dyDescent="0.2">
      <c r="P286" s="58"/>
      <c r="Z286" s="58"/>
      <c r="AA286" s="58"/>
      <c r="AB286" s="58"/>
      <c r="AC286" s="58"/>
      <c r="AD286" s="58"/>
      <c r="AE286" s="58"/>
      <c r="AF286" s="58"/>
      <c r="AG286" s="58"/>
      <c r="AH286" s="58"/>
    </row>
    <row r="287" spans="2:34" ht="12" customHeight="1" x14ac:dyDescent="0.2">
      <c r="P287" s="58"/>
      <c r="Z287" s="58"/>
      <c r="AA287" s="58"/>
      <c r="AB287" s="58"/>
      <c r="AC287" s="58"/>
      <c r="AD287" s="58"/>
      <c r="AE287" s="58"/>
      <c r="AF287" s="58"/>
      <c r="AG287" s="58"/>
      <c r="AH287" s="58"/>
    </row>
    <row r="288" spans="2:34" ht="12" customHeight="1" x14ac:dyDescent="0.2">
      <c r="P288" s="58"/>
      <c r="Z288" s="58"/>
      <c r="AA288" s="58"/>
      <c r="AB288" s="58"/>
      <c r="AC288" s="58"/>
      <c r="AD288" s="58"/>
      <c r="AE288" s="58"/>
      <c r="AF288" s="58"/>
      <c r="AG288" s="58"/>
      <c r="AH288" s="58"/>
    </row>
    <row r="289" spans="16:34" ht="12" customHeight="1" x14ac:dyDescent="0.2">
      <c r="P289" s="58"/>
      <c r="Z289" s="58"/>
      <c r="AA289" s="58"/>
      <c r="AB289" s="58"/>
      <c r="AC289" s="58"/>
      <c r="AD289" s="58"/>
      <c r="AE289" s="58"/>
      <c r="AF289" s="58"/>
      <c r="AG289" s="58"/>
      <c r="AH289" s="58"/>
    </row>
    <row r="290" spans="16:34" ht="12" customHeight="1" x14ac:dyDescent="0.2">
      <c r="P290" s="58"/>
      <c r="Z290" s="58"/>
      <c r="AA290" s="58"/>
      <c r="AB290" s="58"/>
      <c r="AC290" s="58"/>
      <c r="AD290" s="58"/>
      <c r="AE290" s="58"/>
      <c r="AF290" s="58"/>
      <c r="AG290" s="58"/>
      <c r="AH290" s="58"/>
    </row>
    <row r="291" spans="16:34" ht="12" customHeight="1" x14ac:dyDescent="0.2">
      <c r="P291" s="58"/>
      <c r="Z291" s="58"/>
      <c r="AA291" s="58"/>
      <c r="AB291" s="58"/>
      <c r="AC291" s="58"/>
      <c r="AD291" s="58"/>
      <c r="AE291" s="58"/>
      <c r="AF291" s="58"/>
      <c r="AG291" s="58"/>
      <c r="AH291" s="58"/>
    </row>
    <row r="292" spans="16:34" ht="12" customHeight="1" x14ac:dyDescent="0.2">
      <c r="P292" s="58"/>
      <c r="Z292" s="58"/>
      <c r="AA292" s="58"/>
      <c r="AB292" s="58"/>
      <c r="AC292" s="58"/>
      <c r="AD292" s="58"/>
      <c r="AE292" s="58"/>
      <c r="AF292" s="58"/>
      <c r="AG292" s="58"/>
      <c r="AH292" s="58"/>
    </row>
    <row r="293" spans="16:34" ht="12" customHeight="1" x14ac:dyDescent="0.2">
      <c r="P293" s="58"/>
      <c r="Z293" s="58"/>
      <c r="AA293" s="58"/>
      <c r="AB293" s="58"/>
      <c r="AC293" s="58"/>
      <c r="AD293" s="58"/>
      <c r="AE293" s="58"/>
      <c r="AF293" s="58"/>
      <c r="AG293" s="58"/>
      <c r="AH293" s="58"/>
    </row>
    <row r="294" spans="16:34" ht="12" customHeight="1" x14ac:dyDescent="0.2">
      <c r="P294" s="58"/>
      <c r="Z294" s="58"/>
      <c r="AA294" s="58"/>
      <c r="AB294" s="58"/>
      <c r="AC294" s="58"/>
      <c r="AD294" s="58"/>
      <c r="AE294" s="58"/>
      <c r="AF294" s="58"/>
      <c r="AG294" s="58"/>
      <c r="AH294" s="58"/>
    </row>
    <row r="295" spans="16:34" ht="12" customHeight="1" x14ac:dyDescent="0.2">
      <c r="P295" s="58"/>
      <c r="Z295" s="58"/>
      <c r="AA295" s="58"/>
      <c r="AB295" s="58"/>
      <c r="AC295" s="58"/>
      <c r="AD295" s="58"/>
      <c r="AE295" s="58"/>
      <c r="AF295" s="58"/>
      <c r="AG295" s="58"/>
      <c r="AH295" s="58"/>
    </row>
    <row r="296" spans="16:34" ht="12" customHeight="1" x14ac:dyDescent="0.2">
      <c r="P296" s="58"/>
      <c r="Z296" s="58"/>
      <c r="AA296" s="58"/>
      <c r="AB296" s="58"/>
      <c r="AC296" s="58"/>
      <c r="AD296" s="58"/>
      <c r="AE296" s="58"/>
      <c r="AF296" s="58"/>
      <c r="AG296" s="58"/>
      <c r="AH296" s="58"/>
    </row>
    <row r="297" spans="16:34" ht="12" customHeight="1" x14ac:dyDescent="0.2">
      <c r="P297" s="58"/>
      <c r="Z297" s="58"/>
      <c r="AA297" s="58"/>
      <c r="AB297" s="58"/>
      <c r="AC297" s="58"/>
      <c r="AD297" s="58"/>
      <c r="AE297" s="58"/>
      <c r="AF297" s="58"/>
      <c r="AG297" s="58"/>
      <c r="AH297" s="58"/>
    </row>
    <row r="298" spans="16:34" ht="12" customHeight="1" x14ac:dyDescent="0.2">
      <c r="P298" s="58"/>
      <c r="Z298" s="58"/>
      <c r="AA298" s="58"/>
      <c r="AB298" s="58"/>
      <c r="AC298" s="58"/>
      <c r="AD298" s="58"/>
      <c r="AE298" s="58"/>
      <c r="AF298" s="58"/>
      <c r="AG298" s="58"/>
      <c r="AH298" s="58"/>
    </row>
    <row r="299" spans="16:34" ht="12" customHeight="1" x14ac:dyDescent="0.2">
      <c r="P299" s="58"/>
      <c r="Z299" s="58"/>
      <c r="AA299" s="58"/>
      <c r="AB299" s="58"/>
      <c r="AC299" s="58"/>
      <c r="AD299" s="58"/>
      <c r="AE299" s="58"/>
      <c r="AF299" s="58"/>
      <c r="AG299" s="58"/>
      <c r="AH299" s="58"/>
    </row>
    <row r="300" spans="16:34" ht="12" customHeight="1" x14ac:dyDescent="0.2">
      <c r="P300" s="58"/>
      <c r="Z300" s="58"/>
      <c r="AA300" s="58"/>
      <c r="AB300" s="58"/>
      <c r="AC300" s="58"/>
      <c r="AD300" s="58"/>
      <c r="AE300" s="58"/>
      <c r="AF300" s="58"/>
      <c r="AG300" s="58"/>
      <c r="AH300" s="58"/>
    </row>
    <row r="301" spans="16:34" ht="12" customHeight="1" x14ac:dyDescent="0.2">
      <c r="P301" s="58"/>
      <c r="Z301" s="58"/>
      <c r="AA301" s="58"/>
      <c r="AB301" s="58"/>
      <c r="AC301" s="58"/>
      <c r="AD301" s="58"/>
      <c r="AE301" s="58"/>
      <c r="AF301" s="58"/>
      <c r="AG301" s="58"/>
      <c r="AH301" s="58"/>
    </row>
    <row r="302" spans="16:34" ht="12" customHeight="1" x14ac:dyDescent="0.2">
      <c r="P302" s="58"/>
      <c r="Z302" s="58"/>
      <c r="AA302" s="58"/>
      <c r="AB302" s="58"/>
      <c r="AC302" s="58"/>
      <c r="AD302" s="58"/>
      <c r="AE302" s="58"/>
      <c r="AF302" s="58"/>
      <c r="AG302" s="58"/>
      <c r="AH302" s="58"/>
    </row>
    <row r="303" spans="16:34" ht="12" customHeight="1" x14ac:dyDescent="0.2">
      <c r="P303" s="58"/>
      <c r="Z303" s="58"/>
      <c r="AA303" s="58"/>
      <c r="AB303" s="58"/>
      <c r="AC303" s="58"/>
      <c r="AD303" s="58"/>
      <c r="AE303" s="58"/>
      <c r="AF303" s="58"/>
      <c r="AG303" s="58"/>
      <c r="AH303" s="58"/>
    </row>
    <row r="304" spans="16:34" ht="12" customHeight="1" x14ac:dyDescent="0.2">
      <c r="P304" s="58"/>
      <c r="Z304" s="58"/>
      <c r="AA304" s="58"/>
      <c r="AB304" s="58"/>
      <c r="AC304" s="58"/>
      <c r="AD304" s="58"/>
      <c r="AE304" s="58"/>
      <c r="AF304" s="58"/>
      <c r="AG304" s="58"/>
      <c r="AH304" s="58"/>
    </row>
    <row r="305" spans="16:34" ht="12" customHeight="1" x14ac:dyDescent="0.2">
      <c r="P305" s="58"/>
      <c r="Z305" s="58"/>
      <c r="AA305" s="58"/>
      <c r="AB305" s="58"/>
      <c r="AC305" s="58"/>
      <c r="AD305" s="58"/>
      <c r="AE305" s="58"/>
      <c r="AF305" s="58"/>
      <c r="AG305" s="58"/>
      <c r="AH305" s="58"/>
    </row>
    <row r="306" spans="16:34" ht="12" customHeight="1" x14ac:dyDescent="0.2">
      <c r="P306" s="58"/>
      <c r="Z306" s="58"/>
      <c r="AA306" s="58"/>
      <c r="AB306" s="58"/>
      <c r="AC306" s="58"/>
      <c r="AD306" s="58"/>
      <c r="AE306" s="58"/>
      <c r="AF306" s="58"/>
      <c r="AG306" s="58"/>
      <c r="AH306" s="58"/>
    </row>
    <row r="307" spans="16:34" ht="12" customHeight="1" x14ac:dyDescent="0.2">
      <c r="P307" s="58"/>
      <c r="Z307" s="58"/>
      <c r="AA307" s="58"/>
      <c r="AB307" s="58"/>
      <c r="AC307" s="58"/>
      <c r="AD307" s="58"/>
      <c r="AE307" s="58"/>
      <c r="AF307" s="58"/>
      <c r="AG307" s="58"/>
      <c r="AH307" s="58"/>
    </row>
    <row r="308" spans="16:34" ht="12" customHeight="1" x14ac:dyDescent="0.2">
      <c r="P308" s="58"/>
      <c r="Z308" s="58"/>
      <c r="AA308" s="58"/>
      <c r="AB308" s="58"/>
      <c r="AC308" s="58"/>
      <c r="AD308" s="58"/>
      <c r="AE308" s="58"/>
      <c r="AF308" s="58"/>
      <c r="AG308" s="58"/>
      <c r="AH308" s="58"/>
    </row>
    <row r="309" spans="16:34" ht="12" customHeight="1" x14ac:dyDescent="0.2">
      <c r="P309" s="58"/>
      <c r="Z309" s="58"/>
      <c r="AA309" s="58"/>
      <c r="AB309" s="58"/>
      <c r="AC309" s="58"/>
      <c r="AD309" s="58"/>
      <c r="AE309" s="58"/>
      <c r="AF309" s="58"/>
      <c r="AG309" s="58"/>
      <c r="AH309" s="58"/>
    </row>
    <row r="310" spans="16:34" ht="12" customHeight="1" x14ac:dyDescent="0.2">
      <c r="P310" s="58"/>
      <c r="Z310" s="58"/>
      <c r="AA310" s="58"/>
      <c r="AB310" s="58"/>
      <c r="AC310" s="58"/>
      <c r="AD310" s="58"/>
      <c r="AE310" s="58"/>
      <c r="AF310" s="58"/>
      <c r="AG310" s="58"/>
      <c r="AH310" s="58"/>
    </row>
    <row r="382" spans="1:25" ht="12.75" customHeight="1" x14ac:dyDescent="0.2"/>
    <row r="384" spans="1:25" s="2" customFormat="1" x14ac:dyDescent="0.2">
      <c r="A384" s="58"/>
      <c r="B384" s="7"/>
      <c r="C384" s="1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Q384" s="6"/>
      <c r="R384" s="5"/>
      <c r="S384" s="4"/>
      <c r="T384" s="3"/>
      <c r="U384" s="3"/>
      <c r="V384" s="3"/>
      <c r="W384" s="3"/>
      <c r="X384" s="3"/>
      <c r="Y384" s="3"/>
    </row>
    <row r="385" spans="1:25" s="2" customFormat="1" x14ac:dyDescent="0.2">
      <c r="A385" s="58"/>
      <c r="B385" s="7"/>
      <c r="C385" s="1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13"/>
      <c r="Q385" s="6"/>
      <c r="R385" s="5"/>
      <c r="S385" s="4"/>
      <c r="T385" s="3"/>
      <c r="U385" s="3"/>
      <c r="V385" s="3"/>
      <c r="W385" s="3"/>
      <c r="X385" s="3"/>
      <c r="Y385" s="3"/>
    </row>
    <row r="386" spans="1:25" s="2" customFormat="1" x14ac:dyDescent="0.2">
      <c r="A386" s="58"/>
      <c r="B386" s="7"/>
      <c r="C386" s="1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13"/>
      <c r="Q386" s="6"/>
      <c r="R386" s="5"/>
      <c r="S386" s="4"/>
      <c r="T386" s="3"/>
      <c r="U386" s="3"/>
      <c r="V386" s="3"/>
      <c r="W386" s="3"/>
      <c r="X386" s="3"/>
      <c r="Y386" s="3"/>
    </row>
    <row r="387" spans="1:25" s="2" customFormat="1" x14ac:dyDescent="0.2">
      <c r="A387" s="58"/>
      <c r="B387" s="7"/>
      <c r="C387" s="1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13"/>
      <c r="Q387" s="6"/>
      <c r="R387" s="5"/>
      <c r="S387" s="4"/>
      <c r="T387" s="3"/>
      <c r="U387" s="3"/>
      <c r="V387" s="3"/>
      <c r="W387" s="3"/>
      <c r="X387" s="3"/>
      <c r="Y387" s="3"/>
    </row>
    <row r="388" spans="1:25" s="2" customFormat="1" x14ac:dyDescent="0.2">
      <c r="A388" s="58"/>
      <c r="B388" s="7"/>
      <c r="C388" s="1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13"/>
      <c r="Q388" s="6"/>
      <c r="R388" s="5"/>
      <c r="S388" s="4"/>
      <c r="T388" s="3"/>
      <c r="U388" s="3"/>
      <c r="V388" s="3"/>
      <c r="W388" s="3"/>
      <c r="X388" s="3"/>
      <c r="Y388" s="3"/>
    </row>
    <row r="389" spans="1:25" s="2" customFormat="1" x14ac:dyDescent="0.2">
      <c r="A389" s="58"/>
      <c r="B389" s="7"/>
      <c r="C389" s="1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13"/>
      <c r="Q389" s="6"/>
      <c r="R389" s="5"/>
      <c r="S389" s="4"/>
      <c r="T389" s="3"/>
      <c r="U389" s="3"/>
      <c r="V389" s="3"/>
      <c r="W389" s="3"/>
      <c r="X389" s="3"/>
      <c r="Y389" s="3"/>
    </row>
    <row r="390" spans="1:25" s="2" customFormat="1" x14ac:dyDescent="0.2">
      <c r="A390" s="58"/>
      <c r="B390" s="7"/>
      <c r="C390" s="1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13"/>
      <c r="Q390" s="6"/>
      <c r="R390" s="5"/>
      <c r="S390" s="4"/>
      <c r="T390" s="3"/>
      <c r="U390" s="3"/>
      <c r="V390" s="3"/>
      <c r="W390" s="3"/>
      <c r="X390" s="3"/>
      <c r="Y390" s="3"/>
    </row>
    <row r="391" spans="1:25" s="2" customFormat="1" x14ac:dyDescent="0.2">
      <c r="A391" s="58"/>
      <c r="B391" s="7"/>
      <c r="C391" s="1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13"/>
      <c r="Q391" s="6"/>
      <c r="R391" s="5"/>
      <c r="S391" s="4"/>
      <c r="T391" s="3"/>
      <c r="U391" s="3"/>
      <c r="V391" s="3"/>
      <c r="W391" s="3"/>
      <c r="X391" s="3"/>
      <c r="Y391" s="3"/>
    </row>
    <row r="392" spans="1:25" s="2" customFormat="1" x14ac:dyDescent="0.2">
      <c r="A392" s="58"/>
      <c r="B392" s="7"/>
      <c r="C392" s="1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13"/>
      <c r="Q392" s="6"/>
      <c r="R392" s="5"/>
      <c r="S392" s="4"/>
      <c r="T392" s="3"/>
      <c r="U392" s="3"/>
      <c r="V392" s="3"/>
      <c r="W392" s="3"/>
      <c r="X392" s="3"/>
      <c r="Y392" s="3"/>
    </row>
    <row r="393" spans="1:25" s="2" customFormat="1" x14ac:dyDescent="0.2">
      <c r="A393" s="58"/>
      <c r="B393" s="7"/>
      <c r="C393" s="1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13"/>
      <c r="Q393" s="6"/>
      <c r="R393" s="5"/>
      <c r="S393" s="4"/>
      <c r="T393" s="3"/>
      <c r="U393" s="3"/>
      <c r="V393" s="3"/>
      <c r="W393" s="3"/>
      <c r="X393" s="3"/>
      <c r="Y393" s="3"/>
    </row>
    <row r="394" spans="1:25" s="2" customFormat="1" x14ac:dyDescent="0.2">
      <c r="A394" s="58"/>
      <c r="B394" s="7"/>
      <c r="C394" s="1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13"/>
      <c r="Q394" s="6"/>
      <c r="R394" s="5"/>
      <c r="S394" s="4"/>
      <c r="T394" s="3"/>
      <c r="U394" s="3"/>
      <c r="V394" s="3"/>
      <c r="W394" s="3"/>
      <c r="X394" s="3"/>
      <c r="Y394" s="3"/>
    </row>
    <row r="395" spans="1:25" s="2" customFormat="1" x14ac:dyDescent="0.2">
      <c r="A395" s="58"/>
      <c r="B395" s="7"/>
      <c r="C395" s="1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13"/>
      <c r="Q395" s="6"/>
      <c r="R395" s="5"/>
      <c r="S395" s="4"/>
      <c r="T395" s="3"/>
      <c r="U395" s="3"/>
      <c r="V395" s="3"/>
      <c r="W395" s="3"/>
      <c r="X395" s="3"/>
      <c r="Y395" s="3"/>
    </row>
    <row r="396" spans="1:25" s="2" customFormat="1" x14ac:dyDescent="0.2">
      <c r="A396" s="58"/>
      <c r="B396" s="7"/>
      <c r="C396" s="1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13"/>
      <c r="Q396" s="6"/>
      <c r="R396" s="5"/>
      <c r="S396" s="4"/>
      <c r="T396" s="3"/>
      <c r="U396" s="3"/>
      <c r="V396" s="3"/>
      <c r="W396" s="3"/>
      <c r="X396" s="3"/>
      <c r="Y396" s="3"/>
    </row>
    <row r="397" spans="1:25" s="2" customFormat="1" x14ac:dyDescent="0.2">
      <c r="A397" s="58"/>
      <c r="B397" s="7"/>
      <c r="C397" s="1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13"/>
      <c r="Q397" s="6"/>
      <c r="R397" s="5"/>
      <c r="S397" s="4"/>
      <c r="T397" s="3"/>
      <c r="U397" s="3"/>
      <c r="V397" s="3"/>
      <c r="W397" s="3"/>
      <c r="X397" s="3"/>
      <c r="Y397" s="3"/>
    </row>
    <row r="398" spans="1:25" s="2" customFormat="1" x14ac:dyDescent="0.2">
      <c r="A398" s="58"/>
      <c r="B398" s="7"/>
      <c r="C398" s="1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13"/>
      <c r="Q398" s="6"/>
      <c r="R398" s="5"/>
      <c r="S398" s="4"/>
      <c r="T398" s="3"/>
      <c r="U398" s="3"/>
      <c r="V398" s="3"/>
      <c r="W398" s="3"/>
      <c r="X398" s="3"/>
      <c r="Y398" s="3"/>
    </row>
    <row r="399" spans="1:25" s="2" customFormat="1" x14ac:dyDescent="0.2">
      <c r="A399" s="58"/>
      <c r="B399" s="7"/>
      <c r="C399" s="1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13"/>
      <c r="Q399" s="6"/>
      <c r="R399" s="5"/>
      <c r="S399" s="4"/>
      <c r="T399" s="3"/>
      <c r="U399" s="3"/>
      <c r="V399" s="3"/>
      <c r="W399" s="3"/>
      <c r="X399" s="3"/>
      <c r="Y399" s="3"/>
    </row>
    <row r="400" spans="1:25" s="2" customFormat="1" x14ac:dyDescent="0.2">
      <c r="A400" s="58"/>
      <c r="B400" s="7"/>
      <c r="C400" s="1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13"/>
      <c r="Q400" s="6"/>
      <c r="R400" s="5"/>
      <c r="S400" s="4"/>
      <c r="T400" s="3"/>
      <c r="U400" s="3"/>
      <c r="V400" s="3"/>
      <c r="W400" s="3"/>
      <c r="X400" s="3"/>
      <c r="Y400" s="3"/>
    </row>
    <row r="401" spans="1:25" s="2" customFormat="1" x14ac:dyDescent="0.2">
      <c r="A401" s="58"/>
      <c r="B401" s="7"/>
      <c r="C401" s="1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13"/>
      <c r="Q401" s="6"/>
      <c r="R401" s="5"/>
      <c r="S401" s="4"/>
      <c r="T401" s="3"/>
      <c r="U401" s="3"/>
      <c r="V401" s="3"/>
      <c r="W401" s="3"/>
      <c r="X401" s="3"/>
      <c r="Y401" s="3"/>
    </row>
    <row r="402" spans="1:25" s="2" customFormat="1" x14ac:dyDescent="0.2">
      <c r="A402" s="58"/>
      <c r="B402" s="7"/>
      <c r="C402" s="1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13"/>
      <c r="Q402" s="6"/>
      <c r="R402" s="5"/>
      <c r="S402" s="4"/>
      <c r="T402" s="3"/>
      <c r="U402" s="3"/>
      <c r="V402" s="3"/>
      <c r="W402" s="3"/>
      <c r="X402" s="3"/>
      <c r="Y402" s="3"/>
    </row>
    <row r="403" spans="1:25" s="2" customFormat="1" x14ac:dyDescent="0.2">
      <c r="A403" s="58"/>
      <c r="B403" s="7"/>
      <c r="C403" s="1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13"/>
      <c r="Q403" s="6"/>
      <c r="R403" s="5"/>
      <c r="S403" s="4"/>
      <c r="T403" s="3"/>
      <c r="U403" s="3"/>
      <c r="V403" s="3"/>
      <c r="W403" s="3"/>
      <c r="X403" s="3"/>
      <c r="Y403" s="3"/>
    </row>
    <row r="404" spans="1:25" s="2" customFormat="1" x14ac:dyDescent="0.2">
      <c r="A404" s="58"/>
      <c r="B404" s="7"/>
      <c r="C404" s="1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13"/>
      <c r="Q404" s="6"/>
      <c r="R404" s="5"/>
      <c r="S404" s="4"/>
      <c r="T404" s="3"/>
      <c r="U404" s="3"/>
      <c r="V404" s="3"/>
      <c r="W404" s="3"/>
      <c r="X404" s="3"/>
      <c r="Y404" s="3"/>
    </row>
    <row r="405" spans="1:25" s="2" customFormat="1" x14ac:dyDescent="0.2">
      <c r="A405" s="58"/>
      <c r="B405" s="7"/>
      <c r="C405" s="1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13"/>
      <c r="Q405" s="6"/>
      <c r="R405" s="5"/>
      <c r="S405" s="4"/>
      <c r="T405" s="3"/>
      <c r="U405" s="3"/>
      <c r="V405" s="3"/>
      <c r="W405" s="3"/>
      <c r="X405" s="3"/>
      <c r="Y405" s="3"/>
    </row>
    <row r="406" spans="1:25" s="2" customFormat="1" x14ac:dyDescent="0.2">
      <c r="A406" s="58"/>
      <c r="B406" s="7"/>
      <c r="C406" s="1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13"/>
      <c r="Q406" s="6"/>
      <c r="R406" s="5"/>
      <c r="S406" s="4"/>
      <c r="T406" s="3"/>
      <c r="U406" s="3"/>
      <c r="V406" s="3"/>
      <c r="W406" s="3"/>
      <c r="X406" s="3"/>
      <c r="Y406" s="3"/>
    </row>
    <row r="407" spans="1:25" s="2" customFormat="1" x14ac:dyDescent="0.2">
      <c r="A407" s="58"/>
      <c r="B407" s="7"/>
      <c r="C407" s="1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13"/>
      <c r="Q407" s="6"/>
      <c r="R407" s="5"/>
      <c r="S407" s="4"/>
      <c r="T407" s="3"/>
      <c r="U407" s="3"/>
      <c r="V407" s="3"/>
      <c r="W407" s="3"/>
      <c r="X407" s="3"/>
      <c r="Y407" s="3"/>
    </row>
    <row r="408" spans="1:25" s="2" customFormat="1" x14ac:dyDescent="0.2">
      <c r="A408" s="58"/>
      <c r="B408" s="7"/>
      <c r="C408" s="1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13"/>
      <c r="Q408" s="6"/>
      <c r="R408" s="5"/>
      <c r="S408" s="4"/>
      <c r="T408" s="3"/>
      <c r="U408" s="3"/>
      <c r="V408" s="3"/>
      <c r="W408" s="3"/>
      <c r="X408" s="3"/>
      <c r="Y408" s="3"/>
    </row>
    <row r="409" spans="1:25" s="2" customFormat="1" x14ac:dyDescent="0.2">
      <c r="A409" s="58"/>
      <c r="B409" s="7"/>
      <c r="C409" s="1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13"/>
      <c r="Q409" s="6"/>
      <c r="R409" s="5"/>
      <c r="S409" s="4"/>
      <c r="T409" s="3"/>
      <c r="U409" s="3"/>
      <c r="V409" s="3"/>
      <c r="W409" s="3"/>
      <c r="X409" s="3"/>
      <c r="Y409" s="3"/>
    </row>
    <row r="410" spans="1:25" s="2" customFormat="1" x14ac:dyDescent="0.2">
      <c r="A410" s="58"/>
      <c r="B410" s="7"/>
      <c r="C410" s="1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13"/>
      <c r="Q410" s="6"/>
      <c r="R410" s="5"/>
      <c r="S410" s="4"/>
      <c r="T410" s="3"/>
      <c r="U410" s="3"/>
      <c r="V410" s="3"/>
      <c r="W410" s="3"/>
      <c r="X410" s="3"/>
      <c r="Y410" s="3"/>
    </row>
    <row r="411" spans="1:25" s="2" customFormat="1" x14ac:dyDescent="0.2">
      <c r="A411" s="58"/>
      <c r="B411" s="7"/>
      <c r="C411" s="1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13"/>
      <c r="Q411" s="6"/>
      <c r="R411" s="5"/>
      <c r="S411" s="4"/>
      <c r="T411" s="3"/>
      <c r="U411" s="3"/>
      <c r="V411" s="3"/>
      <c r="W411" s="3"/>
      <c r="X411" s="3"/>
      <c r="Y411" s="3"/>
    </row>
    <row r="412" spans="1:25" s="2" customFormat="1" x14ac:dyDescent="0.2">
      <c r="A412" s="58"/>
      <c r="B412" s="7"/>
      <c r="C412" s="1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13"/>
      <c r="Q412" s="6"/>
      <c r="R412" s="5"/>
      <c r="S412" s="4"/>
      <c r="T412" s="3"/>
      <c r="U412" s="3"/>
      <c r="V412" s="3"/>
      <c r="W412" s="3"/>
      <c r="X412" s="3"/>
      <c r="Y412" s="3"/>
    </row>
    <row r="413" spans="1:25" s="2" customFormat="1" x14ac:dyDescent="0.2">
      <c r="A413" s="58"/>
      <c r="B413" s="7"/>
      <c r="C413" s="1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13"/>
      <c r="Q413" s="6"/>
      <c r="R413" s="5"/>
      <c r="S413" s="4"/>
      <c r="T413" s="3"/>
      <c r="U413" s="3"/>
      <c r="V413" s="3"/>
      <c r="W413" s="3"/>
      <c r="X413" s="3"/>
      <c r="Y413" s="3"/>
    </row>
    <row r="414" spans="1:25" s="2" customFormat="1" x14ac:dyDescent="0.2">
      <c r="A414" s="58"/>
      <c r="B414" s="7"/>
      <c r="C414" s="1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13"/>
      <c r="Q414" s="6"/>
      <c r="R414" s="5"/>
      <c r="S414" s="4"/>
      <c r="T414" s="3"/>
      <c r="U414" s="3"/>
      <c r="V414" s="3"/>
      <c r="W414" s="3"/>
      <c r="X414" s="3"/>
      <c r="Y414" s="3"/>
    </row>
    <row r="415" spans="1:25" s="2" customFormat="1" x14ac:dyDescent="0.2">
      <c r="A415" s="58"/>
      <c r="B415" s="7"/>
      <c r="C415" s="1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13"/>
      <c r="Q415" s="6"/>
      <c r="R415" s="5"/>
      <c r="S415" s="4"/>
      <c r="T415" s="3"/>
      <c r="U415" s="3"/>
      <c r="V415" s="3"/>
      <c r="W415" s="3"/>
      <c r="X415" s="3"/>
      <c r="Y415" s="3"/>
    </row>
    <row r="416" spans="1:25" s="2" customFormat="1" x14ac:dyDescent="0.2">
      <c r="A416" s="58"/>
      <c r="B416" s="7"/>
      <c r="C416" s="1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13"/>
      <c r="Q416" s="6"/>
      <c r="R416" s="5"/>
      <c r="S416" s="4"/>
      <c r="T416" s="3"/>
      <c r="U416" s="3"/>
      <c r="V416" s="3"/>
      <c r="W416" s="3"/>
      <c r="X416" s="3"/>
      <c r="Y416" s="3"/>
    </row>
    <row r="417" spans="1:25" s="2" customFormat="1" x14ac:dyDescent="0.2">
      <c r="A417" s="58"/>
      <c r="B417" s="7"/>
      <c r="C417" s="1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13"/>
      <c r="Q417" s="6"/>
      <c r="R417" s="5"/>
      <c r="S417" s="4"/>
      <c r="T417" s="3"/>
      <c r="U417" s="3"/>
      <c r="V417" s="3"/>
      <c r="W417" s="3"/>
      <c r="X417" s="3"/>
      <c r="Y417" s="3"/>
    </row>
    <row r="418" spans="1:25" s="2" customFormat="1" x14ac:dyDescent="0.2">
      <c r="A418" s="58"/>
      <c r="B418" s="7"/>
      <c r="C418" s="1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13"/>
      <c r="Q418" s="6"/>
      <c r="R418" s="5"/>
      <c r="S418" s="4"/>
      <c r="T418" s="3"/>
      <c r="U418" s="3"/>
      <c r="V418" s="3"/>
      <c r="W418" s="3"/>
      <c r="X418" s="3"/>
      <c r="Y418" s="3"/>
    </row>
    <row r="419" spans="1:25" s="2" customFormat="1" x14ac:dyDescent="0.2">
      <c r="A419" s="58"/>
      <c r="B419" s="7"/>
      <c r="C419" s="1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13"/>
      <c r="Q419" s="6"/>
      <c r="R419" s="5"/>
      <c r="S419" s="4"/>
      <c r="T419" s="3"/>
      <c r="U419" s="3"/>
      <c r="V419" s="3"/>
      <c r="W419" s="3"/>
      <c r="X419" s="3"/>
      <c r="Y419" s="3"/>
    </row>
    <row r="420" spans="1:25" s="2" customFormat="1" x14ac:dyDescent="0.2">
      <c r="A420" s="58"/>
      <c r="B420" s="7"/>
      <c r="C420" s="1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13"/>
      <c r="Q420" s="6"/>
      <c r="R420" s="5"/>
      <c r="S420" s="4"/>
      <c r="T420" s="3"/>
      <c r="U420" s="3"/>
      <c r="V420" s="3"/>
      <c r="W420" s="3"/>
      <c r="X420" s="3"/>
      <c r="Y420" s="3"/>
    </row>
    <row r="421" spans="1:25" s="2" customFormat="1" x14ac:dyDescent="0.2">
      <c r="A421" s="58"/>
      <c r="B421" s="7"/>
      <c r="C421" s="1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13"/>
      <c r="Q421" s="6"/>
      <c r="R421" s="5"/>
      <c r="S421" s="4"/>
      <c r="T421" s="3"/>
      <c r="U421" s="3"/>
      <c r="V421" s="3"/>
      <c r="W421" s="3"/>
      <c r="X421" s="3"/>
      <c r="Y421" s="3"/>
    </row>
    <row r="422" spans="1:25" s="2" customFormat="1" x14ac:dyDescent="0.2">
      <c r="A422" s="58"/>
      <c r="B422" s="7"/>
      <c r="C422" s="1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13"/>
      <c r="Q422" s="6"/>
      <c r="R422" s="5"/>
      <c r="S422" s="4"/>
      <c r="T422" s="3"/>
      <c r="U422" s="3"/>
      <c r="V422" s="3"/>
      <c r="W422" s="3"/>
      <c r="X422" s="3"/>
      <c r="Y422" s="3"/>
    </row>
    <row r="423" spans="1:25" s="2" customFormat="1" x14ac:dyDescent="0.2">
      <c r="A423" s="58"/>
      <c r="B423" s="7"/>
      <c r="C423" s="1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13"/>
      <c r="Q423" s="6"/>
      <c r="R423" s="5"/>
      <c r="S423" s="4"/>
      <c r="T423" s="3"/>
      <c r="U423" s="3"/>
      <c r="V423" s="3"/>
      <c r="W423" s="3"/>
      <c r="X423" s="3"/>
      <c r="Y423" s="3"/>
    </row>
    <row r="424" spans="1:25" s="2" customFormat="1" x14ac:dyDescent="0.2">
      <c r="A424" s="58"/>
      <c r="B424" s="7"/>
      <c r="C424" s="1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13"/>
      <c r="Q424" s="6"/>
      <c r="R424" s="5"/>
      <c r="S424" s="4"/>
      <c r="T424" s="3"/>
      <c r="U424" s="3"/>
      <c r="V424" s="3"/>
      <c r="W424" s="3"/>
      <c r="X424" s="3"/>
      <c r="Y424" s="3"/>
    </row>
    <row r="425" spans="1:25" s="2" customFormat="1" x14ac:dyDescent="0.2">
      <c r="A425" s="58"/>
      <c r="B425" s="7"/>
      <c r="C425" s="1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13"/>
      <c r="Q425" s="6"/>
      <c r="R425" s="5"/>
      <c r="S425" s="4"/>
      <c r="T425" s="3"/>
      <c r="U425" s="3"/>
      <c r="V425" s="3"/>
      <c r="W425" s="3"/>
      <c r="X425" s="3"/>
      <c r="Y425" s="3"/>
    </row>
    <row r="426" spans="1:25" s="2" customFormat="1" x14ac:dyDescent="0.2">
      <c r="A426" s="58"/>
      <c r="B426" s="7"/>
      <c r="C426" s="1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13"/>
      <c r="Q426" s="6"/>
      <c r="R426" s="5"/>
      <c r="S426" s="4"/>
      <c r="T426" s="3"/>
      <c r="U426" s="3"/>
      <c r="V426" s="3"/>
      <c r="W426" s="3"/>
      <c r="X426" s="3"/>
      <c r="Y426" s="3"/>
    </row>
    <row r="427" spans="1:25" s="2" customFormat="1" x14ac:dyDescent="0.2">
      <c r="A427" s="58"/>
      <c r="B427" s="7"/>
      <c r="C427" s="1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13"/>
      <c r="Q427" s="6"/>
      <c r="R427" s="5"/>
      <c r="S427" s="4"/>
      <c r="T427" s="3"/>
      <c r="U427" s="3"/>
      <c r="V427" s="3"/>
      <c r="W427" s="3"/>
      <c r="X427" s="3"/>
      <c r="Y427" s="3"/>
    </row>
    <row r="428" spans="1:25" s="2" customFormat="1" x14ac:dyDescent="0.2">
      <c r="A428" s="58"/>
      <c r="B428" s="7"/>
      <c r="C428" s="1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13"/>
      <c r="Q428" s="6"/>
      <c r="R428" s="5"/>
      <c r="S428" s="4"/>
      <c r="T428" s="3"/>
      <c r="U428" s="3"/>
      <c r="V428" s="3"/>
      <c r="W428" s="3"/>
      <c r="X428" s="3"/>
      <c r="Y428" s="3"/>
    </row>
    <row r="429" spans="1:25" s="2" customFormat="1" x14ac:dyDescent="0.2">
      <c r="A429" s="58"/>
      <c r="B429" s="7"/>
      <c r="C429" s="1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13"/>
      <c r="Q429" s="6"/>
      <c r="R429" s="5"/>
      <c r="S429" s="4"/>
      <c r="T429" s="3"/>
      <c r="U429" s="3"/>
      <c r="V429" s="3"/>
      <c r="W429" s="3"/>
      <c r="X429" s="3"/>
      <c r="Y429" s="3"/>
    </row>
    <row r="430" spans="1:25" s="2" customFormat="1" x14ac:dyDescent="0.2">
      <c r="A430" s="58"/>
      <c r="B430" s="7"/>
      <c r="C430" s="1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13"/>
      <c r="Q430" s="6"/>
      <c r="R430" s="5"/>
      <c r="S430" s="4"/>
      <c r="T430" s="3"/>
      <c r="U430" s="3"/>
      <c r="V430" s="3"/>
      <c r="W430" s="3"/>
      <c r="X430" s="3"/>
      <c r="Y430" s="3"/>
    </row>
    <row r="431" spans="1:25" s="2" customFormat="1" x14ac:dyDescent="0.2">
      <c r="A431" s="58"/>
      <c r="B431" s="7"/>
      <c r="C431" s="1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13"/>
      <c r="Q431" s="6"/>
      <c r="R431" s="5"/>
      <c r="S431" s="4"/>
      <c r="T431" s="3"/>
      <c r="U431" s="3"/>
      <c r="V431" s="3"/>
      <c r="W431" s="3"/>
      <c r="X431" s="3"/>
      <c r="Y431" s="3"/>
    </row>
    <row r="432" spans="1:25" s="2" customFormat="1" x14ac:dyDescent="0.2">
      <c r="A432" s="58"/>
      <c r="B432" s="7"/>
      <c r="C432" s="1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13"/>
      <c r="Q432" s="6"/>
      <c r="R432" s="5"/>
      <c r="S432" s="4"/>
      <c r="T432" s="3"/>
      <c r="U432" s="3"/>
      <c r="V432" s="3"/>
      <c r="W432" s="3"/>
      <c r="X432" s="3"/>
      <c r="Y432" s="3"/>
    </row>
    <row r="433" spans="1:25" s="2" customFormat="1" x14ac:dyDescent="0.2">
      <c r="A433" s="58"/>
      <c r="B433" s="7"/>
      <c r="C433" s="1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13"/>
      <c r="Q433" s="6"/>
      <c r="R433" s="5"/>
      <c r="S433" s="4"/>
      <c r="T433" s="3"/>
      <c r="U433" s="3"/>
      <c r="V433" s="3"/>
      <c r="W433" s="3"/>
      <c r="X433" s="3"/>
      <c r="Y433" s="3"/>
    </row>
    <row r="434" spans="1:25" s="2" customFormat="1" x14ac:dyDescent="0.2">
      <c r="A434" s="58"/>
      <c r="B434" s="7"/>
      <c r="C434" s="1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13"/>
      <c r="Q434" s="6"/>
      <c r="R434" s="5"/>
      <c r="S434" s="4"/>
      <c r="T434" s="3"/>
      <c r="U434" s="3"/>
      <c r="V434" s="3"/>
      <c r="W434" s="3"/>
      <c r="X434" s="3"/>
      <c r="Y434" s="3"/>
    </row>
    <row r="435" spans="1:25" s="2" customFormat="1" x14ac:dyDescent="0.2">
      <c r="A435" s="58"/>
      <c r="B435" s="7"/>
      <c r="C435" s="1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13"/>
      <c r="Q435" s="6"/>
      <c r="R435" s="5"/>
      <c r="S435" s="4"/>
      <c r="T435" s="3"/>
      <c r="U435" s="3"/>
      <c r="V435" s="3"/>
      <c r="W435" s="3"/>
      <c r="X435" s="3"/>
      <c r="Y435" s="3"/>
    </row>
    <row r="436" spans="1:25" s="2" customFormat="1" x14ac:dyDescent="0.2">
      <c r="A436" s="58"/>
      <c r="B436" s="7"/>
      <c r="C436" s="1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13"/>
      <c r="Q436" s="6"/>
      <c r="R436" s="5"/>
      <c r="S436" s="4"/>
      <c r="T436" s="3"/>
      <c r="U436" s="3"/>
      <c r="V436" s="3"/>
      <c r="W436" s="3"/>
      <c r="X436" s="3"/>
      <c r="Y436" s="3"/>
    </row>
    <row r="437" spans="1:25" s="2" customFormat="1" x14ac:dyDescent="0.2">
      <c r="A437" s="58"/>
      <c r="B437" s="7"/>
      <c r="C437" s="1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13"/>
      <c r="Q437" s="6"/>
      <c r="R437" s="5"/>
      <c r="S437" s="4"/>
      <c r="T437" s="3"/>
      <c r="U437" s="3"/>
      <c r="V437" s="3"/>
      <c r="W437" s="3"/>
      <c r="X437" s="3"/>
      <c r="Y437" s="3"/>
    </row>
    <row r="438" spans="1:25" s="2" customFormat="1" x14ac:dyDescent="0.2">
      <c r="A438" s="58"/>
      <c r="B438" s="7"/>
      <c r="C438" s="1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13"/>
      <c r="Q438" s="6"/>
      <c r="R438" s="5"/>
      <c r="S438" s="4"/>
      <c r="T438" s="3"/>
      <c r="U438" s="3"/>
      <c r="V438" s="3"/>
      <c r="W438" s="3"/>
      <c r="X438" s="3"/>
      <c r="Y438" s="3"/>
    </row>
    <row r="439" spans="1:25" s="2" customFormat="1" x14ac:dyDescent="0.2">
      <c r="A439" s="58"/>
      <c r="B439" s="7"/>
      <c r="C439" s="1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13"/>
      <c r="Q439" s="6"/>
      <c r="R439" s="5"/>
      <c r="S439" s="4"/>
      <c r="T439" s="3"/>
      <c r="U439" s="3"/>
      <c r="V439" s="3"/>
      <c r="W439" s="3"/>
      <c r="X439" s="3"/>
      <c r="Y439" s="3"/>
    </row>
    <row r="440" spans="1:25" s="2" customFormat="1" x14ac:dyDescent="0.2">
      <c r="A440" s="58"/>
      <c r="B440" s="7"/>
      <c r="C440" s="1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13"/>
      <c r="Q440" s="6"/>
      <c r="R440" s="5"/>
      <c r="S440" s="4"/>
      <c r="T440" s="3"/>
      <c r="U440" s="3"/>
      <c r="V440" s="3"/>
      <c r="W440" s="3"/>
      <c r="X440" s="3"/>
      <c r="Y440" s="3"/>
    </row>
    <row r="441" spans="1:25" s="2" customFormat="1" x14ac:dyDescent="0.2">
      <c r="A441" s="58"/>
      <c r="B441" s="7"/>
      <c r="C441" s="1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13"/>
      <c r="Q441" s="6"/>
      <c r="R441" s="5"/>
      <c r="S441" s="4"/>
      <c r="T441" s="3"/>
      <c r="U441" s="3"/>
      <c r="V441" s="3"/>
      <c r="W441" s="3"/>
      <c r="X441" s="3"/>
      <c r="Y441" s="3"/>
    </row>
    <row r="442" spans="1:25" s="2" customFormat="1" x14ac:dyDescent="0.2">
      <c r="A442" s="58"/>
      <c r="B442" s="7"/>
      <c r="C442" s="1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13"/>
      <c r="Q442" s="6"/>
      <c r="R442" s="5"/>
      <c r="S442" s="4"/>
      <c r="T442" s="3"/>
      <c r="U442" s="3"/>
      <c r="V442" s="3"/>
      <c r="W442" s="3"/>
      <c r="X442" s="3"/>
      <c r="Y442" s="3"/>
    </row>
    <row r="443" spans="1:25" s="2" customFormat="1" x14ac:dyDescent="0.2">
      <c r="A443" s="58"/>
      <c r="B443" s="7"/>
      <c r="C443" s="1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13"/>
      <c r="Q443" s="6"/>
      <c r="R443" s="5"/>
      <c r="S443" s="4"/>
      <c r="T443" s="3"/>
      <c r="U443" s="3"/>
      <c r="V443" s="3"/>
      <c r="W443" s="3"/>
      <c r="X443" s="3"/>
      <c r="Y443" s="3"/>
    </row>
    <row r="444" spans="1:25" s="2" customFormat="1" x14ac:dyDescent="0.2">
      <c r="A444" s="58"/>
      <c r="B444" s="7"/>
      <c r="C444" s="1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13"/>
      <c r="Q444" s="6"/>
      <c r="R444" s="5"/>
      <c r="S444" s="4"/>
      <c r="T444" s="3"/>
      <c r="U444" s="3"/>
      <c r="V444" s="3"/>
      <c r="W444" s="3"/>
      <c r="X444" s="3"/>
      <c r="Y444" s="3"/>
    </row>
    <row r="445" spans="1:25" s="2" customFormat="1" x14ac:dyDescent="0.2">
      <c r="A445" s="58"/>
      <c r="B445" s="7"/>
      <c r="C445" s="1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13"/>
      <c r="Q445" s="6"/>
      <c r="R445" s="5"/>
      <c r="S445" s="4"/>
      <c r="T445" s="3"/>
      <c r="U445" s="3"/>
      <c r="V445" s="3"/>
      <c r="W445" s="3"/>
      <c r="X445" s="3"/>
      <c r="Y445" s="3"/>
    </row>
    <row r="446" spans="1:25" s="2" customFormat="1" x14ac:dyDescent="0.2">
      <c r="A446" s="58"/>
      <c r="B446" s="7"/>
      <c r="C446" s="1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13"/>
      <c r="Q446" s="6"/>
      <c r="R446" s="5"/>
      <c r="S446" s="4"/>
      <c r="T446" s="3"/>
      <c r="U446" s="3"/>
      <c r="V446" s="3"/>
      <c r="W446" s="3"/>
      <c r="X446" s="3"/>
      <c r="Y446" s="3"/>
    </row>
    <row r="447" spans="1:25" s="2" customFormat="1" x14ac:dyDescent="0.2">
      <c r="A447" s="58"/>
      <c r="B447" s="7"/>
      <c r="C447" s="1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13"/>
      <c r="Q447" s="6"/>
      <c r="R447" s="5"/>
      <c r="S447" s="4"/>
      <c r="T447" s="3"/>
      <c r="U447" s="3"/>
      <c r="V447" s="3"/>
      <c r="W447" s="3"/>
      <c r="X447" s="3"/>
      <c r="Y447" s="3"/>
    </row>
    <row r="448" spans="1:25" s="2" customFormat="1" x14ac:dyDescent="0.2">
      <c r="A448" s="58"/>
      <c r="B448" s="7"/>
      <c r="C448" s="1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13"/>
      <c r="Q448" s="6"/>
      <c r="R448" s="5"/>
      <c r="S448" s="4"/>
      <c r="T448" s="3"/>
      <c r="U448" s="3"/>
      <c r="V448" s="3"/>
      <c r="W448" s="3"/>
      <c r="X448" s="3"/>
      <c r="Y448" s="3"/>
    </row>
    <row r="449" spans="1:25" s="2" customFormat="1" x14ac:dyDescent="0.2">
      <c r="A449" s="58"/>
      <c r="B449" s="7"/>
      <c r="C449" s="1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13"/>
      <c r="Q449" s="6"/>
      <c r="R449" s="5"/>
      <c r="S449" s="4"/>
      <c r="T449" s="3"/>
      <c r="U449" s="3"/>
      <c r="V449" s="3"/>
      <c r="W449" s="3"/>
      <c r="X449" s="3"/>
      <c r="Y449" s="3"/>
    </row>
    <row r="450" spans="1:25" s="2" customFormat="1" x14ac:dyDescent="0.2">
      <c r="A450" s="58"/>
      <c r="B450" s="7"/>
      <c r="C450" s="1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13"/>
      <c r="Q450" s="6"/>
      <c r="R450" s="5"/>
      <c r="S450" s="4"/>
      <c r="T450" s="3"/>
      <c r="U450" s="3"/>
      <c r="V450" s="3"/>
      <c r="W450" s="3"/>
      <c r="X450" s="3"/>
      <c r="Y450" s="3"/>
    </row>
    <row r="451" spans="1:25" s="2" customFormat="1" x14ac:dyDescent="0.2">
      <c r="A451" s="58"/>
      <c r="B451" s="7"/>
      <c r="C451" s="1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13"/>
      <c r="Q451" s="6"/>
      <c r="R451" s="5"/>
      <c r="S451" s="4"/>
      <c r="T451" s="3"/>
      <c r="U451" s="3"/>
      <c r="V451" s="3"/>
      <c r="W451" s="3"/>
      <c r="X451" s="3"/>
      <c r="Y451" s="3"/>
    </row>
    <row r="452" spans="1:25" s="2" customFormat="1" x14ac:dyDescent="0.2">
      <c r="A452" s="58"/>
      <c r="B452" s="7"/>
      <c r="C452" s="1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13"/>
      <c r="Q452" s="6"/>
      <c r="R452" s="5"/>
      <c r="S452" s="4"/>
      <c r="T452" s="3"/>
      <c r="U452" s="3"/>
      <c r="V452" s="3"/>
      <c r="W452" s="3"/>
      <c r="X452" s="3"/>
      <c r="Y452" s="3"/>
    </row>
    <row r="453" spans="1:25" s="2" customFormat="1" x14ac:dyDescent="0.2">
      <c r="A453" s="58"/>
      <c r="B453" s="7"/>
      <c r="C453" s="1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13"/>
      <c r="Q453" s="6"/>
      <c r="R453" s="5"/>
      <c r="S453" s="4"/>
      <c r="T453" s="3"/>
      <c r="U453" s="3"/>
      <c r="V453" s="3"/>
      <c r="W453" s="3"/>
      <c r="X453" s="3"/>
      <c r="Y453" s="3"/>
    </row>
    <row r="454" spans="1:25" s="2" customFormat="1" x14ac:dyDescent="0.2">
      <c r="A454" s="58"/>
      <c r="B454" s="7"/>
      <c r="C454" s="1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13"/>
      <c r="Q454" s="6"/>
      <c r="R454" s="5"/>
      <c r="S454" s="4"/>
      <c r="T454" s="3"/>
      <c r="U454" s="3"/>
      <c r="V454" s="3"/>
      <c r="W454" s="3"/>
      <c r="X454" s="3"/>
      <c r="Y454" s="3"/>
    </row>
    <row r="455" spans="1:25" s="2" customFormat="1" x14ac:dyDescent="0.2">
      <c r="A455" s="58"/>
      <c r="B455" s="7"/>
      <c r="C455" s="1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13"/>
      <c r="Q455" s="6"/>
      <c r="R455" s="5"/>
      <c r="S455" s="4"/>
      <c r="T455" s="3"/>
      <c r="U455" s="3"/>
      <c r="V455" s="3"/>
      <c r="W455" s="3"/>
      <c r="X455" s="3"/>
      <c r="Y455" s="3"/>
    </row>
    <row r="456" spans="1:25" s="2" customFormat="1" x14ac:dyDescent="0.2">
      <c r="A456" s="58"/>
      <c r="B456" s="7"/>
      <c r="C456" s="1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13"/>
      <c r="Q456" s="6"/>
      <c r="R456" s="5"/>
      <c r="S456" s="4"/>
      <c r="T456" s="3"/>
      <c r="U456" s="3"/>
      <c r="V456" s="3"/>
      <c r="W456" s="3"/>
      <c r="X456" s="3"/>
      <c r="Y456" s="3"/>
    </row>
    <row r="457" spans="1:25" s="2" customFormat="1" x14ac:dyDescent="0.2">
      <c r="A457" s="58"/>
      <c r="B457" s="7"/>
      <c r="C457" s="1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13"/>
      <c r="Q457" s="6"/>
      <c r="R457" s="5"/>
      <c r="S457" s="4"/>
      <c r="T457" s="3"/>
      <c r="U457" s="3"/>
      <c r="V457" s="3"/>
      <c r="W457" s="3"/>
      <c r="X457" s="3"/>
      <c r="Y457" s="3"/>
    </row>
    <row r="458" spans="1:25" s="2" customFormat="1" x14ac:dyDescent="0.2">
      <c r="A458" s="58"/>
      <c r="B458" s="7"/>
      <c r="C458" s="1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13"/>
      <c r="Q458" s="6"/>
      <c r="R458" s="5"/>
      <c r="S458" s="4"/>
      <c r="T458" s="3"/>
      <c r="U458" s="3"/>
      <c r="V458" s="3"/>
      <c r="W458" s="3"/>
      <c r="X458" s="3"/>
      <c r="Y458" s="3"/>
    </row>
    <row r="459" spans="1:25" s="2" customFormat="1" x14ac:dyDescent="0.2">
      <c r="A459" s="58"/>
      <c r="B459" s="7"/>
      <c r="C459" s="1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13"/>
      <c r="Q459" s="6"/>
      <c r="R459" s="5"/>
      <c r="S459" s="4"/>
      <c r="T459" s="3"/>
      <c r="U459" s="3"/>
      <c r="V459" s="3"/>
      <c r="W459" s="3"/>
      <c r="X459" s="3"/>
      <c r="Y459" s="3"/>
    </row>
    <row r="460" spans="1:25" s="2" customFormat="1" x14ac:dyDescent="0.2">
      <c r="A460" s="58"/>
      <c r="B460" s="7"/>
      <c r="C460" s="1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13"/>
      <c r="Q460" s="6"/>
      <c r="R460" s="5"/>
      <c r="S460" s="4"/>
      <c r="T460" s="3"/>
      <c r="U460" s="3"/>
      <c r="V460" s="3"/>
      <c r="W460" s="3"/>
      <c r="X460" s="3"/>
      <c r="Y460" s="3"/>
    </row>
    <row r="461" spans="1:25" s="2" customFormat="1" x14ac:dyDescent="0.2">
      <c r="A461" s="58"/>
      <c r="B461" s="7"/>
      <c r="C461" s="1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13"/>
      <c r="Q461" s="6"/>
      <c r="R461" s="5"/>
      <c r="S461" s="4"/>
      <c r="T461" s="3"/>
      <c r="U461" s="3"/>
      <c r="V461" s="3"/>
      <c r="W461" s="3"/>
      <c r="X461" s="3"/>
      <c r="Y461" s="3"/>
    </row>
    <row r="462" spans="1:25" s="2" customFormat="1" x14ac:dyDescent="0.2">
      <c r="A462" s="58"/>
      <c r="B462" s="7"/>
      <c r="C462" s="1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13"/>
      <c r="Q462" s="6"/>
      <c r="R462" s="5"/>
      <c r="S462" s="4"/>
      <c r="T462" s="3"/>
      <c r="U462" s="3"/>
      <c r="V462" s="3"/>
      <c r="W462" s="3"/>
      <c r="X462" s="3"/>
      <c r="Y462" s="3"/>
    </row>
    <row r="463" spans="1:25" s="2" customFormat="1" x14ac:dyDescent="0.2">
      <c r="A463" s="58"/>
      <c r="B463" s="7"/>
      <c r="C463" s="1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13"/>
      <c r="Q463" s="6"/>
      <c r="R463" s="5"/>
      <c r="S463" s="4"/>
      <c r="T463" s="3"/>
      <c r="U463" s="3"/>
      <c r="V463" s="3"/>
      <c r="W463" s="3"/>
      <c r="X463" s="3"/>
      <c r="Y463" s="3"/>
    </row>
    <row r="464" spans="1:25" s="2" customFormat="1" x14ac:dyDescent="0.2">
      <c r="A464" s="58"/>
      <c r="B464" s="7"/>
      <c r="C464" s="1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13"/>
      <c r="Q464" s="6"/>
      <c r="R464" s="5"/>
      <c r="S464" s="4"/>
      <c r="T464" s="3"/>
      <c r="U464" s="3"/>
      <c r="V464" s="3"/>
      <c r="W464" s="3"/>
      <c r="X464" s="3"/>
      <c r="Y464" s="3"/>
    </row>
    <row r="465" spans="1:25" s="2" customFormat="1" x14ac:dyDescent="0.2">
      <c r="A465" s="58"/>
      <c r="B465" s="7"/>
      <c r="C465" s="1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13"/>
      <c r="Q465" s="6"/>
      <c r="R465" s="5"/>
      <c r="S465" s="4"/>
      <c r="T465" s="3"/>
      <c r="U465" s="3"/>
      <c r="V465" s="3"/>
      <c r="W465" s="3"/>
      <c r="X465" s="3"/>
      <c r="Y465" s="3"/>
    </row>
    <row r="466" spans="1:25" s="2" customFormat="1" x14ac:dyDescent="0.2">
      <c r="A466" s="58"/>
      <c r="B466" s="7"/>
      <c r="C466" s="1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13"/>
      <c r="Q466" s="6"/>
      <c r="R466" s="5"/>
      <c r="S466" s="4"/>
      <c r="T466" s="3"/>
      <c r="U466" s="3"/>
      <c r="V466" s="3"/>
      <c r="W466" s="3"/>
      <c r="X466" s="3"/>
      <c r="Y466" s="3"/>
    </row>
    <row r="467" spans="1:25" s="2" customFormat="1" x14ac:dyDescent="0.2">
      <c r="A467" s="58"/>
      <c r="B467" s="7"/>
      <c r="C467" s="1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13"/>
      <c r="Q467" s="6"/>
      <c r="R467" s="5"/>
      <c r="S467" s="4"/>
      <c r="T467" s="3"/>
      <c r="U467" s="3"/>
      <c r="V467" s="3"/>
      <c r="W467" s="3"/>
      <c r="X467" s="3"/>
      <c r="Y467" s="3"/>
    </row>
    <row r="468" spans="1:25" s="2" customFormat="1" x14ac:dyDescent="0.2">
      <c r="A468" s="58"/>
      <c r="B468" s="7"/>
      <c r="C468" s="1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13"/>
      <c r="Q468" s="6"/>
      <c r="R468" s="5"/>
      <c r="S468" s="4"/>
      <c r="T468" s="3"/>
      <c r="U468" s="3"/>
      <c r="V468" s="3"/>
      <c r="W468" s="3"/>
      <c r="X468" s="3"/>
      <c r="Y468" s="3"/>
    </row>
    <row r="469" spans="1:25" s="2" customFormat="1" x14ac:dyDescent="0.2">
      <c r="A469" s="58"/>
      <c r="B469" s="7"/>
      <c r="C469" s="1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13"/>
      <c r="Q469" s="6"/>
      <c r="R469" s="5"/>
      <c r="S469" s="4"/>
      <c r="T469" s="3"/>
      <c r="U469" s="3"/>
      <c r="V469" s="3"/>
      <c r="W469" s="3"/>
      <c r="X469" s="3"/>
      <c r="Y469" s="3"/>
    </row>
    <row r="470" spans="1:25" s="2" customFormat="1" x14ac:dyDescent="0.2">
      <c r="A470" s="58"/>
      <c r="B470" s="7"/>
      <c r="C470" s="1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13"/>
      <c r="Q470" s="6"/>
      <c r="R470" s="5"/>
      <c r="S470" s="4"/>
      <c r="T470" s="3"/>
      <c r="U470" s="3"/>
      <c r="V470" s="3"/>
      <c r="W470" s="3"/>
      <c r="X470" s="3"/>
      <c r="Y470" s="3"/>
    </row>
    <row r="471" spans="1:25" s="2" customFormat="1" x14ac:dyDescent="0.2">
      <c r="A471" s="58"/>
      <c r="B471" s="7"/>
      <c r="C471" s="1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13"/>
      <c r="Q471" s="6"/>
      <c r="R471" s="5"/>
      <c r="S471" s="4"/>
      <c r="T471" s="3"/>
      <c r="U471" s="3"/>
      <c r="V471" s="3"/>
      <c r="W471" s="3"/>
      <c r="X471" s="3"/>
      <c r="Y471" s="3"/>
    </row>
    <row r="472" spans="1:25" s="2" customFormat="1" x14ac:dyDescent="0.2">
      <c r="A472" s="58"/>
      <c r="B472" s="7"/>
      <c r="C472" s="1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13"/>
      <c r="Q472" s="6"/>
      <c r="R472" s="5"/>
      <c r="S472" s="4"/>
      <c r="T472" s="3"/>
      <c r="U472" s="3"/>
      <c r="V472" s="3"/>
      <c r="W472" s="3"/>
      <c r="X472" s="3"/>
      <c r="Y472" s="3"/>
    </row>
    <row r="473" spans="1:25" s="2" customFormat="1" x14ac:dyDescent="0.2">
      <c r="A473" s="58"/>
      <c r="B473" s="7"/>
      <c r="C473" s="1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13"/>
      <c r="Q473" s="6"/>
      <c r="R473" s="5"/>
      <c r="S473" s="4"/>
      <c r="T473" s="3"/>
      <c r="U473" s="3"/>
      <c r="V473" s="3"/>
      <c r="W473" s="3"/>
      <c r="X473" s="3"/>
      <c r="Y473" s="3"/>
    </row>
    <row r="474" spans="1:25" s="2" customFormat="1" x14ac:dyDescent="0.2">
      <c r="A474" s="58"/>
      <c r="B474" s="7"/>
      <c r="C474" s="1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13"/>
      <c r="Q474" s="6"/>
      <c r="R474" s="5"/>
      <c r="S474" s="4"/>
      <c r="T474" s="3"/>
      <c r="U474" s="3"/>
      <c r="V474" s="3"/>
      <c r="W474" s="3"/>
      <c r="X474" s="3"/>
      <c r="Y474" s="3"/>
    </row>
    <row r="475" spans="1:25" s="2" customFormat="1" x14ac:dyDescent="0.2">
      <c r="A475" s="58"/>
      <c r="B475" s="7"/>
      <c r="C475" s="1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13"/>
      <c r="Q475" s="6"/>
      <c r="R475" s="5"/>
      <c r="S475" s="4"/>
      <c r="T475" s="3"/>
      <c r="U475" s="3"/>
      <c r="V475" s="3"/>
      <c r="W475" s="3"/>
      <c r="X475" s="3"/>
      <c r="Y475" s="3"/>
    </row>
    <row r="476" spans="1:25" s="2" customFormat="1" x14ac:dyDescent="0.2">
      <c r="A476" s="58"/>
      <c r="B476" s="7"/>
      <c r="C476" s="1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13"/>
      <c r="Q476" s="6"/>
      <c r="R476" s="5"/>
      <c r="S476" s="4"/>
      <c r="T476" s="3"/>
      <c r="U476" s="3"/>
      <c r="V476" s="3"/>
      <c r="W476" s="3"/>
      <c r="X476" s="3"/>
      <c r="Y476" s="3"/>
    </row>
    <row r="477" spans="1:25" s="2" customFormat="1" x14ac:dyDescent="0.2">
      <c r="A477" s="58"/>
      <c r="B477" s="7"/>
      <c r="C477" s="1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13"/>
      <c r="Q477" s="6"/>
      <c r="R477" s="5"/>
      <c r="S477" s="4"/>
      <c r="T477" s="3"/>
      <c r="U477" s="3"/>
      <c r="V477" s="3"/>
      <c r="W477" s="3"/>
      <c r="X477" s="3"/>
      <c r="Y477" s="3"/>
    </row>
    <row r="478" spans="1:25" s="2" customFormat="1" x14ac:dyDescent="0.2">
      <c r="A478" s="58"/>
      <c r="B478" s="7"/>
      <c r="C478" s="1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13"/>
      <c r="Q478" s="6"/>
      <c r="R478" s="5"/>
      <c r="S478" s="4"/>
      <c r="T478" s="3"/>
      <c r="U478" s="3"/>
      <c r="V478" s="3"/>
      <c r="W478" s="3"/>
      <c r="X478" s="3"/>
      <c r="Y478" s="3"/>
    </row>
    <row r="479" spans="1:25" s="2" customFormat="1" x14ac:dyDescent="0.2">
      <c r="A479" s="58"/>
      <c r="B479" s="7"/>
      <c r="C479" s="1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13"/>
      <c r="Q479" s="6"/>
      <c r="R479" s="5"/>
      <c r="S479" s="4"/>
      <c r="T479" s="3"/>
      <c r="U479" s="3"/>
      <c r="V479" s="3"/>
      <c r="W479" s="3"/>
      <c r="X479" s="3"/>
      <c r="Y479" s="3"/>
    </row>
    <row r="480" spans="1:25" s="2" customFormat="1" x14ac:dyDescent="0.2">
      <c r="A480" s="58"/>
      <c r="B480" s="7"/>
      <c r="C480" s="1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13"/>
      <c r="Q480" s="6"/>
      <c r="R480" s="5"/>
      <c r="S480" s="4"/>
      <c r="T480" s="3"/>
      <c r="U480" s="3"/>
      <c r="V480" s="3"/>
      <c r="W480" s="3"/>
      <c r="X480" s="3"/>
      <c r="Y480" s="3"/>
    </row>
    <row r="481" spans="1:25" s="2" customFormat="1" x14ac:dyDescent="0.2">
      <c r="A481" s="58"/>
      <c r="B481" s="7"/>
      <c r="C481" s="1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13"/>
      <c r="Q481" s="6"/>
      <c r="R481" s="5"/>
      <c r="S481" s="4"/>
      <c r="T481" s="3"/>
      <c r="U481" s="3"/>
      <c r="V481" s="3"/>
      <c r="W481" s="3"/>
      <c r="X481" s="3"/>
      <c r="Y481" s="3"/>
    </row>
    <row r="482" spans="1:25" s="2" customFormat="1" x14ac:dyDescent="0.2">
      <c r="A482" s="58"/>
      <c r="B482" s="7"/>
      <c r="C482" s="1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15"/>
      <c r="Q482" s="6"/>
      <c r="R482" s="5"/>
      <c r="S482" s="4"/>
      <c r="T482" s="3"/>
      <c r="U482" s="3"/>
      <c r="V482" s="3"/>
      <c r="W482" s="3"/>
      <c r="X482" s="3"/>
      <c r="Y482" s="3"/>
    </row>
    <row r="483" spans="1:25" s="2" customFormat="1" x14ac:dyDescent="0.2">
      <c r="A483" s="58"/>
      <c r="B483" s="7"/>
      <c r="C483" s="1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15"/>
      <c r="Q483" s="6"/>
      <c r="R483" s="5"/>
      <c r="S483" s="4"/>
      <c r="T483" s="3"/>
      <c r="U483" s="3"/>
      <c r="V483" s="3"/>
      <c r="W483" s="3"/>
      <c r="X483" s="3"/>
      <c r="Y483" s="3"/>
    </row>
    <row r="484" spans="1:25" s="2" customFormat="1" x14ac:dyDescent="0.2">
      <c r="A484" s="58"/>
      <c r="B484" s="7"/>
      <c r="C484" s="1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15"/>
      <c r="Q484" s="6"/>
      <c r="R484" s="5"/>
      <c r="S484" s="4"/>
      <c r="T484" s="3"/>
      <c r="U484" s="3"/>
      <c r="V484" s="3"/>
      <c r="W484" s="3"/>
      <c r="X484" s="3"/>
      <c r="Y484" s="3"/>
    </row>
    <row r="485" spans="1:25" s="2" customFormat="1" x14ac:dyDescent="0.2">
      <c r="A485" s="58"/>
      <c r="B485" s="7"/>
      <c r="C485" s="1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15"/>
      <c r="Q485" s="6"/>
      <c r="R485" s="5"/>
      <c r="S485" s="4"/>
      <c r="T485" s="3"/>
      <c r="U485" s="3"/>
      <c r="V485" s="3"/>
      <c r="W485" s="3"/>
      <c r="X485" s="3"/>
      <c r="Y485" s="3"/>
    </row>
    <row r="486" spans="1:25" s="2" customFormat="1" x14ac:dyDescent="0.2">
      <c r="A486" s="58"/>
      <c r="B486" s="7"/>
      <c r="C486" s="1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13"/>
      <c r="Q486" s="6"/>
      <c r="R486" s="5"/>
      <c r="S486" s="4"/>
      <c r="T486" s="3"/>
      <c r="U486" s="3"/>
      <c r="V486" s="3"/>
      <c r="W486" s="3"/>
      <c r="X486" s="3"/>
      <c r="Y486" s="3"/>
    </row>
    <row r="487" spans="1:25" s="2" customFormat="1" x14ac:dyDescent="0.2">
      <c r="A487" s="58"/>
      <c r="B487" s="7"/>
      <c r="C487" s="1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13"/>
      <c r="Q487" s="6"/>
      <c r="R487" s="5"/>
      <c r="S487" s="4"/>
      <c r="T487" s="3"/>
      <c r="U487" s="3"/>
      <c r="V487" s="3"/>
      <c r="W487" s="3"/>
      <c r="X487" s="3"/>
      <c r="Y487" s="3"/>
    </row>
    <row r="488" spans="1:25" s="2" customFormat="1" x14ac:dyDescent="0.2">
      <c r="A488" s="58"/>
      <c r="B488" s="7"/>
      <c r="C488" s="1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13"/>
      <c r="Q488" s="6"/>
      <c r="R488" s="5"/>
      <c r="S488" s="4"/>
      <c r="T488" s="3"/>
      <c r="U488" s="3"/>
      <c r="V488" s="3"/>
      <c r="W488" s="3"/>
      <c r="X488" s="3"/>
      <c r="Y488" s="3"/>
    </row>
    <row r="489" spans="1:25" s="2" customFormat="1" x14ac:dyDescent="0.2">
      <c r="A489" s="58"/>
      <c r="B489" s="7"/>
      <c r="C489" s="1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13"/>
      <c r="Q489" s="6"/>
      <c r="R489" s="5"/>
      <c r="S489" s="4"/>
      <c r="T489" s="3"/>
      <c r="U489" s="3"/>
      <c r="V489" s="3"/>
      <c r="W489" s="3"/>
      <c r="X489" s="3"/>
      <c r="Y489" s="3"/>
    </row>
    <row r="490" spans="1:25" s="2" customFormat="1" x14ac:dyDescent="0.2">
      <c r="A490" s="58"/>
      <c r="B490" s="7"/>
      <c r="C490" s="1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13"/>
      <c r="Q490" s="6"/>
      <c r="R490" s="5"/>
      <c r="S490" s="4"/>
      <c r="T490" s="3"/>
      <c r="U490" s="3"/>
      <c r="V490" s="3"/>
      <c r="W490" s="3"/>
      <c r="X490" s="3"/>
      <c r="Y490" s="3"/>
    </row>
    <row r="491" spans="1:25" s="2" customFormat="1" x14ac:dyDescent="0.2">
      <c r="A491" s="58"/>
      <c r="B491" s="7"/>
      <c r="C491" s="1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13"/>
      <c r="Q491" s="6"/>
      <c r="R491" s="5"/>
      <c r="S491" s="4"/>
      <c r="T491" s="3"/>
      <c r="U491" s="3"/>
      <c r="V491" s="3"/>
      <c r="W491" s="3"/>
      <c r="X491" s="3"/>
      <c r="Y491" s="3"/>
    </row>
    <row r="492" spans="1:25" s="2" customFormat="1" x14ac:dyDescent="0.2">
      <c r="A492" s="58"/>
      <c r="B492" s="7"/>
      <c r="C492" s="1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13"/>
      <c r="Q492" s="6"/>
      <c r="R492" s="5"/>
      <c r="S492" s="4"/>
      <c r="T492" s="3"/>
      <c r="U492" s="3"/>
      <c r="V492" s="3"/>
      <c r="W492" s="3"/>
      <c r="X492" s="3"/>
      <c r="Y492" s="3"/>
    </row>
    <row r="493" spans="1:25" s="2" customFormat="1" x14ac:dyDescent="0.2">
      <c r="A493" s="58"/>
      <c r="B493" s="7"/>
      <c r="C493" s="1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13"/>
      <c r="Q493" s="6"/>
      <c r="R493" s="5"/>
      <c r="S493" s="4"/>
      <c r="T493" s="3"/>
      <c r="U493" s="3"/>
      <c r="V493" s="3"/>
      <c r="W493" s="3"/>
      <c r="X493" s="3"/>
      <c r="Y493" s="3"/>
    </row>
    <row r="494" spans="1:25" s="2" customFormat="1" x14ac:dyDescent="0.2">
      <c r="A494" s="58"/>
      <c r="B494" s="7"/>
      <c r="C494" s="1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13"/>
      <c r="Q494" s="6"/>
      <c r="R494" s="5"/>
      <c r="S494" s="4"/>
      <c r="T494" s="3"/>
      <c r="U494" s="3"/>
      <c r="V494" s="3"/>
      <c r="W494" s="3"/>
      <c r="X494" s="3"/>
      <c r="Y494" s="3"/>
    </row>
    <row r="495" spans="1:25" s="2" customFormat="1" x14ac:dyDescent="0.2">
      <c r="A495" s="58"/>
      <c r="B495" s="7"/>
      <c r="C495" s="1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13"/>
      <c r="Q495" s="6"/>
      <c r="R495" s="5"/>
      <c r="S495" s="4"/>
      <c r="T495" s="3"/>
      <c r="U495" s="3"/>
      <c r="V495" s="3"/>
      <c r="W495" s="3"/>
      <c r="X495" s="3"/>
      <c r="Y495" s="3"/>
    </row>
    <row r="496" spans="1:25" s="2" customFormat="1" x14ac:dyDescent="0.2">
      <c r="A496" s="58"/>
      <c r="B496" s="7"/>
      <c r="C496" s="1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13"/>
      <c r="Q496" s="6"/>
      <c r="R496" s="5"/>
      <c r="S496" s="4"/>
      <c r="T496" s="3"/>
      <c r="U496" s="3"/>
      <c r="V496" s="3"/>
      <c r="W496" s="3"/>
      <c r="X496" s="3"/>
      <c r="Y496" s="3"/>
    </row>
    <row r="497" spans="1:25" s="2" customFormat="1" x14ac:dyDescent="0.2">
      <c r="A497" s="58"/>
      <c r="B497" s="7"/>
      <c r="C497" s="1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13"/>
      <c r="Q497" s="6"/>
      <c r="R497" s="5"/>
      <c r="S497" s="4"/>
      <c r="T497" s="3"/>
      <c r="U497" s="3"/>
      <c r="V497" s="3"/>
      <c r="W497" s="3"/>
      <c r="X497" s="3"/>
      <c r="Y497" s="3"/>
    </row>
    <row r="498" spans="1:25" s="2" customFormat="1" x14ac:dyDescent="0.2">
      <c r="A498" s="58"/>
      <c r="B498" s="7"/>
      <c r="C498" s="1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13"/>
      <c r="Q498" s="6"/>
      <c r="R498" s="5"/>
      <c r="S498" s="4"/>
      <c r="T498" s="3"/>
      <c r="U498" s="3"/>
      <c r="V498" s="3"/>
      <c r="W498" s="3"/>
      <c r="X498" s="3"/>
      <c r="Y498" s="3"/>
    </row>
    <row r="499" spans="1:25" s="2" customFormat="1" x14ac:dyDescent="0.2">
      <c r="A499" s="58"/>
      <c r="B499" s="7"/>
      <c r="C499" s="1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13"/>
      <c r="Q499" s="6"/>
      <c r="R499" s="5"/>
      <c r="S499" s="4"/>
      <c r="T499" s="3"/>
      <c r="U499" s="3"/>
      <c r="V499" s="3"/>
      <c r="W499" s="3"/>
      <c r="X499" s="3"/>
      <c r="Y499" s="3"/>
    </row>
    <row r="500" spans="1:25" s="2" customFormat="1" x14ac:dyDescent="0.2">
      <c r="A500" s="58"/>
      <c r="B500" s="7"/>
      <c r="C500" s="1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13"/>
      <c r="Q500" s="6"/>
      <c r="R500" s="5"/>
      <c r="S500" s="4"/>
      <c r="T500" s="3"/>
      <c r="U500" s="3"/>
      <c r="V500" s="3"/>
      <c r="W500" s="3"/>
      <c r="X500" s="3"/>
      <c r="Y500" s="3"/>
    </row>
    <row r="501" spans="1:25" s="2" customFormat="1" x14ac:dyDescent="0.2">
      <c r="A501" s="58"/>
      <c r="B501" s="7"/>
      <c r="C501" s="1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13"/>
      <c r="Q501" s="6"/>
      <c r="R501" s="5"/>
      <c r="S501" s="4"/>
      <c r="T501" s="3"/>
      <c r="U501" s="3"/>
      <c r="V501" s="3"/>
      <c r="W501" s="3"/>
      <c r="X501" s="3"/>
      <c r="Y501" s="3"/>
    </row>
    <row r="502" spans="1:25" s="2" customFormat="1" x14ac:dyDescent="0.2">
      <c r="A502" s="58"/>
      <c r="B502" s="7"/>
      <c r="C502" s="1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13"/>
      <c r="Q502" s="6"/>
      <c r="R502" s="5"/>
      <c r="S502" s="4"/>
      <c r="T502" s="3"/>
      <c r="U502" s="3"/>
      <c r="V502" s="3"/>
      <c r="W502" s="3"/>
      <c r="X502" s="3"/>
      <c r="Y502" s="3"/>
    </row>
    <row r="503" spans="1:25" s="2" customFormat="1" x14ac:dyDescent="0.2">
      <c r="A503" s="58"/>
      <c r="B503" s="7"/>
      <c r="C503" s="1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13"/>
      <c r="Q503" s="6"/>
      <c r="R503" s="5"/>
      <c r="S503" s="4"/>
      <c r="T503" s="3"/>
      <c r="U503" s="3"/>
      <c r="V503" s="3"/>
      <c r="W503" s="3"/>
      <c r="X503" s="3"/>
      <c r="Y503" s="3"/>
    </row>
    <row r="504" spans="1:25" s="2" customFormat="1" x14ac:dyDescent="0.2">
      <c r="A504" s="58"/>
      <c r="B504" s="7"/>
      <c r="C504" s="1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13"/>
      <c r="Q504" s="6"/>
      <c r="R504" s="5"/>
      <c r="S504" s="4"/>
      <c r="T504" s="3"/>
      <c r="U504" s="3"/>
      <c r="V504" s="3"/>
      <c r="W504" s="3"/>
      <c r="X504" s="3"/>
      <c r="Y504" s="3"/>
    </row>
    <row r="505" spans="1:25" s="2" customFormat="1" x14ac:dyDescent="0.2">
      <c r="A505" s="58"/>
      <c r="B505" s="7"/>
      <c r="C505" s="1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13"/>
      <c r="Q505" s="6"/>
      <c r="R505" s="5"/>
      <c r="S505" s="4"/>
      <c r="T505" s="3"/>
      <c r="U505" s="3"/>
      <c r="V505" s="3"/>
      <c r="W505" s="3"/>
      <c r="X505" s="3"/>
      <c r="Y505" s="3"/>
    </row>
    <row r="506" spans="1:25" s="2" customFormat="1" x14ac:dyDescent="0.2">
      <c r="A506" s="58"/>
      <c r="B506" s="7"/>
      <c r="C506" s="1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13"/>
      <c r="Q506" s="6"/>
      <c r="R506" s="5"/>
      <c r="S506" s="4"/>
      <c r="T506" s="3"/>
      <c r="U506" s="3"/>
      <c r="V506" s="3"/>
      <c r="W506" s="3"/>
      <c r="X506" s="3"/>
      <c r="Y506" s="3"/>
    </row>
    <row r="507" spans="1:25" s="2" customFormat="1" x14ac:dyDescent="0.2">
      <c r="A507" s="58"/>
      <c r="B507" s="7"/>
      <c r="C507" s="1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13"/>
      <c r="Q507" s="6"/>
      <c r="R507" s="5"/>
      <c r="S507" s="4"/>
      <c r="T507" s="3"/>
      <c r="U507" s="3"/>
      <c r="V507" s="3"/>
      <c r="W507" s="3"/>
      <c r="X507" s="3"/>
      <c r="Y507" s="3"/>
    </row>
    <row r="508" spans="1:25" s="2" customFormat="1" x14ac:dyDescent="0.2">
      <c r="A508" s="58"/>
      <c r="B508" s="7"/>
      <c r="C508" s="1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13"/>
      <c r="Q508" s="6"/>
      <c r="R508" s="5"/>
      <c r="S508" s="4"/>
      <c r="T508" s="3"/>
      <c r="U508" s="3"/>
      <c r="V508" s="3"/>
      <c r="W508" s="3"/>
      <c r="X508" s="3"/>
      <c r="Y508" s="3"/>
    </row>
    <row r="509" spans="1:25" s="2" customFormat="1" x14ac:dyDescent="0.2">
      <c r="A509" s="58"/>
      <c r="B509" s="7"/>
      <c r="C509" s="1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13"/>
      <c r="Q509" s="6"/>
      <c r="R509" s="5"/>
      <c r="S509" s="4"/>
      <c r="T509" s="3"/>
      <c r="U509" s="3"/>
      <c r="V509" s="3"/>
      <c r="W509" s="3"/>
      <c r="X509" s="3"/>
      <c r="Y509" s="3"/>
    </row>
    <row r="510" spans="1:25" s="2" customFormat="1" x14ac:dyDescent="0.2">
      <c r="A510" s="58"/>
      <c r="B510" s="7"/>
      <c r="C510" s="1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13"/>
      <c r="Q510" s="6"/>
      <c r="R510" s="5"/>
      <c r="S510" s="4"/>
      <c r="T510" s="3"/>
      <c r="U510" s="3"/>
      <c r="V510" s="3"/>
      <c r="W510" s="3"/>
      <c r="X510" s="3"/>
      <c r="Y510" s="3"/>
    </row>
    <row r="511" spans="1:25" s="2" customFormat="1" x14ac:dyDescent="0.2">
      <c r="A511" s="58"/>
      <c r="B511" s="7"/>
      <c r="C511" s="1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13"/>
      <c r="Q511" s="6"/>
      <c r="R511" s="5"/>
      <c r="S511" s="4"/>
      <c r="T511" s="3"/>
      <c r="U511" s="3"/>
      <c r="V511" s="3"/>
      <c r="W511" s="3"/>
      <c r="X511" s="3"/>
      <c r="Y511" s="3"/>
    </row>
    <row r="512" spans="1:25" s="2" customFormat="1" x14ac:dyDescent="0.2">
      <c r="A512" s="58"/>
      <c r="B512" s="7"/>
      <c r="C512" s="1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13"/>
      <c r="Q512" s="6"/>
      <c r="R512" s="5"/>
      <c r="S512" s="4"/>
      <c r="T512" s="3"/>
      <c r="U512" s="3"/>
      <c r="V512" s="3"/>
      <c r="W512" s="3"/>
      <c r="X512" s="3"/>
      <c r="Y512" s="3"/>
    </row>
    <row r="513" spans="1:25" s="2" customFormat="1" x14ac:dyDescent="0.2">
      <c r="A513" s="58"/>
      <c r="B513" s="7"/>
      <c r="C513" s="1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13"/>
      <c r="Q513" s="6"/>
      <c r="R513" s="5"/>
      <c r="S513" s="4"/>
      <c r="T513" s="3"/>
      <c r="U513" s="3"/>
      <c r="V513" s="3"/>
      <c r="W513" s="3"/>
      <c r="X513" s="3"/>
      <c r="Y513" s="3"/>
    </row>
    <row r="514" spans="1:25" s="2" customFormat="1" x14ac:dyDescent="0.2">
      <c r="A514" s="58"/>
      <c r="B514" s="7"/>
      <c r="C514" s="1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13"/>
      <c r="Q514" s="6"/>
      <c r="R514" s="5"/>
      <c r="S514" s="4"/>
      <c r="T514" s="3"/>
      <c r="U514" s="3"/>
      <c r="V514" s="3"/>
      <c r="W514" s="3"/>
      <c r="X514" s="3"/>
      <c r="Y514" s="3"/>
    </row>
    <row r="515" spans="1:25" s="2" customFormat="1" x14ac:dyDescent="0.2">
      <c r="A515" s="58"/>
      <c r="B515" s="7"/>
      <c r="C515" s="1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13"/>
      <c r="Q515" s="6"/>
      <c r="R515" s="5"/>
      <c r="S515" s="4"/>
      <c r="T515" s="3"/>
      <c r="U515" s="3"/>
      <c r="V515" s="3"/>
      <c r="W515" s="3"/>
      <c r="X515" s="3"/>
      <c r="Y515" s="3"/>
    </row>
    <row r="516" spans="1:25" s="2" customFormat="1" x14ac:dyDescent="0.2">
      <c r="A516" s="58"/>
      <c r="B516" s="7"/>
      <c r="C516" s="1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13"/>
      <c r="Q516" s="6"/>
      <c r="R516" s="5"/>
      <c r="S516" s="4"/>
      <c r="T516" s="3"/>
      <c r="U516" s="3"/>
      <c r="V516" s="3"/>
      <c r="W516" s="3"/>
      <c r="X516" s="3"/>
      <c r="Y516" s="3"/>
    </row>
    <row r="517" spans="1:25" s="2" customFormat="1" x14ac:dyDescent="0.2">
      <c r="A517" s="58"/>
      <c r="B517" s="7"/>
      <c r="C517" s="1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13"/>
      <c r="Q517" s="6"/>
      <c r="R517" s="5"/>
      <c r="S517" s="4"/>
      <c r="T517" s="3"/>
      <c r="U517" s="3"/>
      <c r="V517" s="3"/>
      <c r="W517" s="3"/>
      <c r="X517" s="3"/>
      <c r="Y517" s="3"/>
    </row>
    <row r="518" spans="1:25" s="2" customFormat="1" x14ac:dyDescent="0.2">
      <c r="A518" s="58"/>
      <c r="B518" s="7"/>
      <c r="C518" s="1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13"/>
      <c r="Q518" s="6"/>
      <c r="R518" s="5"/>
      <c r="S518" s="4"/>
      <c r="T518" s="3"/>
      <c r="U518" s="3"/>
      <c r="V518" s="3"/>
      <c r="W518" s="3"/>
      <c r="X518" s="3"/>
      <c r="Y518" s="3"/>
    </row>
    <row r="519" spans="1:25" s="2" customFormat="1" x14ac:dyDescent="0.2">
      <c r="A519" s="58"/>
      <c r="B519" s="7"/>
      <c r="C519" s="1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13"/>
      <c r="Q519" s="6"/>
      <c r="R519" s="5"/>
      <c r="S519" s="4"/>
      <c r="T519" s="3"/>
      <c r="U519" s="3"/>
      <c r="V519" s="3"/>
      <c r="W519" s="3"/>
      <c r="X519" s="3"/>
      <c r="Y519" s="3"/>
    </row>
    <row r="520" spans="1:25" s="2" customFormat="1" x14ac:dyDescent="0.2">
      <c r="A520" s="58"/>
      <c r="B520" s="7"/>
      <c r="C520" s="1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13"/>
      <c r="Q520" s="6"/>
      <c r="R520" s="5"/>
      <c r="S520" s="4"/>
      <c r="T520" s="3"/>
      <c r="U520" s="3"/>
      <c r="V520" s="3"/>
      <c r="W520" s="3"/>
      <c r="X520" s="3"/>
      <c r="Y520" s="3"/>
    </row>
    <row r="521" spans="1:25" s="2" customFormat="1" x14ac:dyDescent="0.2">
      <c r="A521" s="58"/>
      <c r="B521" s="7"/>
      <c r="C521" s="1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13"/>
      <c r="Q521" s="6"/>
      <c r="R521" s="5"/>
      <c r="S521" s="4"/>
      <c r="T521" s="3"/>
      <c r="U521" s="3"/>
      <c r="V521" s="3"/>
      <c r="W521" s="3"/>
      <c r="X521" s="3"/>
      <c r="Y521" s="3"/>
    </row>
    <row r="522" spans="1:25" s="2" customFormat="1" x14ac:dyDescent="0.2">
      <c r="A522" s="58"/>
      <c r="B522" s="7"/>
      <c r="C522" s="1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13"/>
      <c r="Q522" s="6"/>
      <c r="R522" s="5"/>
      <c r="S522" s="4"/>
      <c r="T522" s="3"/>
      <c r="U522" s="3"/>
      <c r="V522" s="3"/>
      <c r="W522" s="3"/>
      <c r="X522" s="3"/>
      <c r="Y522" s="3"/>
    </row>
    <row r="523" spans="1:25" s="2" customFormat="1" x14ac:dyDescent="0.2">
      <c r="A523" s="58"/>
      <c r="B523" s="7"/>
      <c r="C523" s="1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13"/>
      <c r="Q523" s="6"/>
      <c r="R523" s="5"/>
      <c r="S523" s="4"/>
      <c r="T523" s="3"/>
      <c r="U523" s="3"/>
      <c r="V523" s="3"/>
      <c r="W523" s="3"/>
      <c r="X523" s="3"/>
      <c r="Y523" s="3"/>
    </row>
    <row r="524" spans="1:25" s="2" customFormat="1" x14ac:dyDescent="0.2">
      <c r="A524" s="58"/>
      <c r="B524" s="7"/>
      <c r="C524" s="1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13"/>
      <c r="Q524" s="6"/>
      <c r="R524" s="5"/>
      <c r="S524" s="4"/>
      <c r="T524" s="3"/>
      <c r="U524" s="3"/>
      <c r="V524" s="3"/>
      <c r="W524" s="3"/>
      <c r="X524" s="3"/>
      <c r="Y524" s="3"/>
    </row>
    <row r="525" spans="1:25" s="2" customFormat="1" x14ac:dyDescent="0.2">
      <c r="A525" s="58"/>
      <c r="B525" s="7"/>
      <c r="C525" s="1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Q525" s="6"/>
      <c r="R525" s="5"/>
      <c r="S525" s="4"/>
      <c r="T525" s="3"/>
      <c r="U525" s="3"/>
      <c r="V525" s="3"/>
      <c r="W525" s="3"/>
      <c r="X525" s="3"/>
      <c r="Y525" s="3"/>
    </row>
    <row r="526" spans="1:25" s="2" customFormat="1" x14ac:dyDescent="0.2">
      <c r="A526" s="58"/>
      <c r="B526" s="7"/>
      <c r="C526" s="1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Q526" s="6"/>
      <c r="R526" s="5"/>
      <c r="S526" s="4"/>
      <c r="T526" s="3"/>
      <c r="U526" s="3"/>
      <c r="V526" s="3"/>
      <c r="W526" s="3"/>
      <c r="X526" s="3"/>
      <c r="Y526" s="3"/>
    </row>
    <row r="527" spans="1:25" s="2" customFormat="1" x14ac:dyDescent="0.2">
      <c r="A527" s="58"/>
      <c r="B527" s="7"/>
      <c r="C527" s="1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Q527" s="6"/>
      <c r="R527" s="5"/>
      <c r="S527" s="4"/>
      <c r="T527" s="3"/>
      <c r="U527" s="3"/>
      <c r="V527" s="3"/>
      <c r="W527" s="3"/>
      <c r="X527" s="3"/>
      <c r="Y527" s="3"/>
    </row>
    <row r="528" spans="1:25" s="2" customFormat="1" x14ac:dyDescent="0.2">
      <c r="A528" s="58"/>
      <c r="B528" s="7"/>
      <c r="C528" s="1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Q528" s="6"/>
      <c r="R528" s="5"/>
      <c r="S528" s="4"/>
      <c r="T528" s="3"/>
      <c r="U528" s="3"/>
      <c r="V528" s="3"/>
      <c r="W528" s="3"/>
      <c r="X528" s="3"/>
      <c r="Y528" s="3"/>
    </row>
    <row r="529" spans="1:25" s="2" customFormat="1" x14ac:dyDescent="0.2">
      <c r="A529" s="58"/>
      <c r="B529" s="7"/>
      <c r="C529" s="1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Q529" s="6"/>
      <c r="R529" s="5"/>
      <c r="S529" s="4"/>
      <c r="T529" s="3"/>
      <c r="U529" s="3"/>
      <c r="V529" s="3"/>
      <c r="W529" s="3"/>
      <c r="X529" s="3"/>
      <c r="Y529" s="3"/>
    </row>
    <row r="530" spans="1:25" s="2" customFormat="1" x14ac:dyDescent="0.2">
      <c r="A530" s="58"/>
      <c r="B530" s="7"/>
      <c r="C530" s="1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Q530" s="6"/>
      <c r="R530" s="5"/>
      <c r="S530" s="4"/>
      <c r="T530" s="3"/>
      <c r="U530" s="3"/>
      <c r="V530" s="3"/>
      <c r="W530" s="3"/>
      <c r="X530" s="3"/>
      <c r="Y530" s="3"/>
    </row>
    <row r="531" spans="1:25" s="2" customFormat="1" x14ac:dyDescent="0.2">
      <c r="A531" s="58"/>
      <c r="B531" s="7"/>
      <c r="C531" s="1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Q531" s="6"/>
      <c r="R531" s="5"/>
      <c r="S531" s="4"/>
      <c r="T531" s="3"/>
      <c r="U531" s="3"/>
      <c r="V531" s="3"/>
      <c r="W531" s="3"/>
      <c r="X531" s="3"/>
      <c r="Y531" s="3"/>
    </row>
    <row r="532" spans="1:25" s="2" customFormat="1" x14ac:dyDescent="0.2">
      <c r="A532" s="58"/>
      <c r="B532" s="7"/>
      <c r="C532" s="1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Q532" s="6"/>
      <c r="R532" s="5"/>
      <c r="S532" s="4"/>
      <c r="T532" s="3"/>
      <c r="U532" s="3"/>
      <c r="V532" s="3"/>
      <c r="W532" s="3"/>
      <c r="X532" s="3"/>
      <c r="Y532" s="3"/>
    </row>
    <row r="533" spans="1:25" s="2" customFormat="1" x14ac:dyDescent="0.2">
      <c r="A533" s="58"/>
      <c r="B533" s="7"/>
      <c r="C533" s="1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Q533" s="6"/>
      <c r="R533" s="5"/>
      <c r="S533" s="4"/>
      <c r="T533" s="3"/>
      <c r="U533" s="3"/>
      <c r="V533" s="3"/>
      <c r="W533" s="3"/>
      <c r="X533" s="3"/>
      <c r="Y533" s="3"/>
    </row>
    <row r="534" spans="1:25" s="2" customFormat="1" x14ac:dyDescent="0.2">
      <c r="A534" s="58"/>
      <c r="B534" s="7"/>
      <c r="C534" s="1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Q534" s="6"/>
      <c r="R534" s="5"/>
      <c r="S534" s="4"/>
      <c r="T534" s="3"/>
      <c r="U534" s="3"/>
      <c r="V534" s="3"/>
      <c r="W534" s="3"/>
      <c r="X534" s="3"/>
      <c r="Y534" s="3"/>
    </row>
    <row r="535" spans="1:25" s="2" customFormat="1" x14ac:dyDescent="0.2">
      <c r="A535" s="58"/>
      <c r="B535" s="7"/>
      <c r="C535" s="1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Q535" s="6"/>
      <c r="R535" s="5"/>
      <c r="S535" s="4"/>
      <c r="T535" s="3"/>
      <c r="U535" s="3"/>
      <c r="V535" s="3"/>
      <c r="W535" s="3"/>
      <c r="X535" s="3"/>
      <c r="Y535" s="3"/>
    </row>
    <row r="536" spans="1:25" s="2" customFormat="1" x14ac:dyDescent="0.2">
      <c r="A536" s="58"/>
      <c r="B536" s="7"/>
      <c r="C536" s="1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Q536" s="6"/>
      <c r="R536" s="5"/>
      <c r="S536" s="4"/>
      <c r="T536" s="3"/>
      <c r="U536" s="3"/>
      <c r="V536" s="3"/>
      <c r="W536" s="3"/>
      <c r="X536" s="3"/>
      <c r="Y536" s="3"/>
    </row>
    <row r="537" spans="1:25" s="2" customFormat="1" x14ac:dyDescent="0.2">
      <c r="A537" s="58"/>
      <c r="B537" s="7"/>
      <c r="C537" s="1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Q537" s="6"/>
      <c r="R537" s="5"/>
      <c r="S537" s="4"/>
      <c r="T537" s="3"/>
      <c r="U537" s="3"/>
      <c r="V537" s="3"/>
      <c r="W537" s="3"/>
      <c r="X537" s="3"/>
      <c r="Y537" s="3"/>
    </row>
    <row r="538" spans="1:25" s="2" customFormat="1" x14ac:dyDescent="0.2">
      <c r="A538" s="58"/>
      <c r="B538" s="7"/>
      <c r="C538" s="1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Q538" s="6"/>
      <c r="R538" s="5"/>
      <c r="S538" s="4"/>
      <c r="T538" s="3"/>
      <c r="U538" s="3"/>
      <c r="V538" s="3"/>
      <c r="W538" s="3"/>
      <c r="X538" s="3"/>
      <c r="Y538" s="3"/>
    </row>
    <row r="539" spans="1:25" s="2" customFormat="1" x14ac:dyDescent="0.2">
      <c r="A539" s="58"/>
      <c r="B539" s="7"/>
      <c r="C539" s="1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Q539" s="6"/>
      <c r="R539" s="5"/>
      <c r="S539" s="4"/>
      <c r="T539" s="3"/>
      <c r="U539" s="3"/>
      <c r="V539" s="3"/>
      <c r="W539" s="3"/>
      <c r="X539" s="3"/>
      <c r="Y539" s="3"/>
    </row>
    <row r="540" spans="1:25" s="2" customFormat="1" x14ac:dyDescent="0.2">
      <c r="A540" s="58"/>
      <c r="B540" s="7"/>
      <c r="C540" s="1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Q540" s="6"/>
      <c r="R540" s="5"/>
      <c r="S540" s="4"/>
      <c r="T540" s="3"/>
      <c r="U540" s="3"/>
      <c r="V540" s="3"/>
      <c r="W540" s="3"/>
      <c r="X540" s="3"/>
      <c r="Y540" s="3"/>
    </row>
    <row r="541" spans="1:25" s="2" customFormat="1" x14ac:dyDescent="0.2">
      <c r="A541" s="58"/>
      <c r="B541" s="7"/>
      <c r="C541" s="1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Q541" s="6"/>
      <c r="R541" s="5"/>
      <c r="S541" s="4"/>
      <c r="T541" s="3"/>
      <c r="U541" s="3"/>
      <c r="V541" s="3"/>
      <c r="W541" s="3"/>
      <c r="X541" s="3"/>
      <c r="Y541" s="3"/>
    </row>
    <row r="542" spans="1:25" s="2" customFormat="1" x14ac:dyDescent="0.2">
      <c r="A542" s="58"/>
      <c r="B542" s="7"/>
      <c r="C542" s="1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Q542" s="6"/>
      <c r="R542" s="5"/>
      <c r="S542" s="4"/>
      <c r="T542" s="3"/>
      <c r="U542" s="3"/>
      <c r="V542" s="3"/>
      <c r="W542" s="3"/>
      <c r="X542" s="3"/>
      <c r="Y542" s="3"/>
    </row>
    <row r="543" spans="1:25" s="2" customFormat="1" x14ac:dyDescent="0.2">
      <c r="A543" s="58"/>
      <c r="B543" s="7"/>
      <c r="C543" s="1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Q543" s="6"/>
      <c r="R543" s="5"/>
      <c r="S543" s="4"/>
      <c r="T543" s="3"/>
      <c r="U543" s="3"/>
      <c r="V543" s="3"/>
      <c r="W543" s="3"/>
      <c r="X543" s="3"/>
      <c r="Y543" s="3"/>
    </row>
    <row r="544" spans="1:25" s="2" customFormat="1" x14ac:dyDescent="0.2">
      <c r="A544" s="58"/>
      <c r="B544" s="7"/>
      <c r="C544" s="1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Q544" s="6"/>
      <c r="R544" s="5"/>
      <c r="S544" s="4"/>
      <c r="T544" s="3"/>
      <c r="U544" s="3"/>
      <c r="V544" s="3"/>
      <c r="W544" s="3"/>
      <c r="X544" s="3"/>
      <c r="Y544" s="3"/>
    </row>
    <row r="545" spans="1:25" s="2" customFormat="1" x14ac:dyDescent="0.2">
      <c r="A545" s="58"/>
      <c r="B545" s="7"/>
      <c r="C545" s="1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Q545" s="6"/>
      <c r="R545" s="5"/>
      <c r="S545" s="4"/>
      <c r="T545" s="3"/>
      <c r="U545" s="3"/>
      <c r="V545" s="3"/>
      <c r="W545" s="3"/>
      <c r="X545" s="3"/>
      <c r="Y545" s="3"/>
    </row>
    <row r="546" spans="1:25" s="2" customFormat="1" x14ac:dyDescent="0.2">
      <c r="A546" s="58"/>
      <c r="B546" s="7"/>
      <c r="C546" s="1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Q546" s="6"/>
      <c r="R546" s="5"/>
      <c r="S546" s="4"/>
      <c r="T546" s="3"/>
      <c r="U546" s="3"/>
      <c r="V546" s="3"/>
      <c r="W546" s="3"/>
      <c r="X546" s="3"/>
      <c r="Y546" s="3"/>
    </row>
    <row r="547" spans="1:25" s="2" customFormat="1" x14ac:dyDescent="0.2">
      <c r="A547" s="58"/>
      <c r="B547" s="7"/>
      <c r="C547" s="1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Q547" s="6"/>
      <c r="R547" s="5"/>
      <c r="S547" s="4"/>
      <c r="T547" s="3"/>
      <c r="U547" s="3"/>
      <c r="V547" s="3"/>
      <c r="W547" s="3"/>
      <c r="X547" s="3"/>
      <c r="Y547" s="3"/>
    </row>
    <row r="548" spans="1:25" s="2" customFormat="1" x14ac:dyDescent="0.2">
      <c r="A548" s="58"/>
      <c r="B548" s="7"/>
      <c r="C548" s="1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Q548" s="6"/>
      <c r="R548" s="5"/>
      <c r="S548" s="4"/>
      <c r="T548" s="3"/>
      <c r="U548" s="3"/>
      <c r="V548" s="3"/>
      <c r="W548" s="3"/>
      <c r="X548" s="3"/>
      <c r="Y548" s="3"/>
    </row>
    <row r="549" spans="1:25" s="2" customFormat="1" x14ac:dyDescent="0.2">
      <c r="A549" s="58"/>
      <c r="B549" s="7"/>
      <c r="C549" s="1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Q549" s="6"/>
      <c r="R549" s="5"/>
      <c r="S549" s="4"/>
      <c r="T549" s="3"/>
      <c r="U549" s="3"/>
      <c r="V549" s="3"/>
      <c r="W549" s="3"/>
      <c r="X549" s="3"/>
      <c r="Y549" s="3"/>
    </row>
    <row r="550" spans="1:25" s="2" customFormat="1" x14ac:dyDescent="0.2">
      <c r="A550" s="58"/>
      <c r="B550" s="7"/>
      <c r="C550" s="1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Q550" s="6"/>
      <c r="R550" s="5"/>
      <c r="S550" s="4"/>
      <c r="T550" s="3"/>
      <c r="U550" s="3"/>
      <c r="V550" s="3"/>
      <c r="W550" s="3"/>
      <c r="X550" s="3"/>
      <c r="Y550" s="3"/>
    </row>
    <row r="551" spans="1:25" s="2" customFormat="1" x14ac:dyDescent="0.2">
      <c r="A551" s="58"/>
      <c r="B551" s="7"/>
      <c r="C551" s="1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Q551" s="6"/>
      <c r="R551" s="5"/>
      <c r="S551" s="4"/>
      <c r="T551" s="3"/>
      <c r="U551" s="3"/>
      <c r="V551" s="3"/>
      <c r="W551" s="3"/>
      <c r="X551" s="3"/>
      <c r="Y551" s="3"/>
    </row>
    <row r="552" spans="1:25" s="2" customFormat="1" x14ac:dyDescent="0.2">
      <c r="A552" s="58"/>
      <c r="B552" s="7"/>
      <c r="C552" s="1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Q552" s="6"/>
      <c r="R552" s="5"/>
      <c r="S552" s="4"/>
      <c r="T552" s="3"/>
      <c r="U552" s="3"/>
      <c r="V552" s="3"/>
      <c r="W552" s="3"/>
      <c r="X552" s="3"/>
      <c r="Y552" s="3"/>
    </row>
    <row r="553" spans="1:25" s="2" customFormat="1" x14ac:dyDescent="0.2">
      <c r="A553" s="58"/>
      <c r="B553" s="7"/>
      <c r="C553" s="1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Q553" s="6"/>
      <c r="R553" s="5"/>
      <c r="S553" s="4"/>
      <c r="T553" s="3"/>
      <c r="U553" s="3"/>
      <c r="V553" s="3"/>
      <c r="W553" s="3"/>
      <c r="X553" s="3"/>
      <c r="Y553" s="3"/>
    </row>
    <row r="554" spans="1:25" s="2" customFormat="1" x14ac:dyDescent="0.2">
      <c r="A554" s="58"/>
      <c r="B554" s="7"/>
      <c r="C554" s="1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Q554" s="6"/>
      <c r="R554" s="5"/>
      <c r="S554" s="4"/>
      <c r="T554" s="3"/>
      <c r="U554" s="3"/>
      <c r="V554" s="3"/>
      <c r="W554" s="3"/>
      <c r="X554" s="3"/>
      <c r="Y554" s="3"/>
    </row>
    <row r="555" spans="1:25" s="2" customFormat="1" x14ac:dyDescent="0.2">
      <c r="A555" s="58"/>
      <c r="B555" s="7"/>
      <c r="C555" s="1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Q555" s="6"/>
      <c r="R555" s="5"/>
      <c r="S555" s="4"/>
      <c r="T555" s="3"/>
      <c r="U555" s="3"/>
      <c r="V555" s="3"/>
      <c r="W555" s="3"/>
      <c r="X555" s="3"/>
      <c r="Y555" s="3"/>
    </row>
    <row r="556" spans="1:25" s="2" customFormat="1" x14ac:dyDescent="0.2">
      <c r="A556" s="58"/>
      <c r="B556" s="7"/>
      <c r="C556" s="1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Q556" s="6"/>
      <c r="R556" s="5"/>
      <c r="S556" s="4"/>
      <c r="T556" s="3"/>
      <c r="U556" s="3"/>
      <c r="V556" s="3"/>
      <c r="W556" s="3"/>
      <c r="X556" s="3"/>
      <c r="Y556" s="3"/>
    </row>
    <row r="557" spans="1:25" s="2" customFormat="1" x14ac:dyDescent="0.2">
      <c r="A557" s="58"/>
      <c r="B557" s="7"/>
      <c r="C557" s="1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Q557" s="6"/>
      <c r="R557" s="5"/>
      <c r="S557" s="4"/>
      <c r="T557" s="3"/>
      <c r="U557" s="3"/>
      <c r="V557" s="3"/>
      <c r="W557" s="3"/>
      <c r="X557" s="3"/>
      <c r="Y557" s="3"/>
    </row>
    <row r="558" spans="1:25" s="2" customFormat="1" x14ac:dyDescent="0.2">
      <c r="A558" s="58"/>
      <c r="B558" s="7"/>
      <c r="C558" s="1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Q558" s="6"/>
      <c r="R558" s="5"/>
      <c r="S558" s="4"/>
      <c r="T558" s="3"/>
      <c r="U558" s="3"/>
      <c r="V558" s="3"/>
      <c r="W558" s="3"/>
      <c r="X558" s="3"/>
      <c r="Y558" s="3"/>
    </row>
    <row r="559" spans="1:25" s="2" customFormat="1" x14ac:dyDescent="0.2">
      <c r="A559" s="58"/>
      <c r="B559" s="7"/>
      <c r="C559" s="1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Q559" s="6"/>
      <c r="R559" s="5"/>
      <c r="S559" s="4"/>
      <c r="T559" s="3"/>
      <c r="U559" s="3"/>
      <c r="V559" s="3"/>
      <c r="W559" s="3"/>
      <c r="X559" s="3"/>
      <c r="Y559" s="3"/>
    </row>
    <row r="560" spans="1:25" s="2" customFormat="1" x14ac:dyDescent="0.2">
      <c r="A560" s="58"/>
      <c r="B560" s="7"/>
      <c r="C560" s="1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Q560" s="6"/>
      <c r="R560" s="5"/>
      <c r="S560" s="4"/>
      <c r="T560" s="3"/>
      <c r="U560" s="3"/>
      <c r="V560" s="3"/>
      <c r="W560" s="3"/>
      <c r="X560" s="3"/>
      <c r="Y560" s="3"/>
    </row>
    <row r="561" spans="1:25" s="2" customFormat="1" x14ac:dyDescent="0.2">
      <c r="A561" s="58"/>
      <c r="B561" s="7"/>
      <c r="C561" s="1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Q561" s="6"/>
      <c r="R561" s="5"/>
      <c r="S561" s="4"/>
      <c r="T561" s="3"/>
      <c r="U561" s="3"/>
      <c r="V561" s="3"/>
      <c r="W561" s="3"/>
      <c r="X561" s="3"/>
      <c r="Y561" s="3"/>
    </row>
    <row r="562" spans="1:25" s="2" customFormat="1" x14ac:dyDescent="0.2">
      <c r="A562" s="58"/>
      <c r="B562" s="7"/>
      <c r="C562" s="1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Q562" s="6"/>
      <c r="R562" s="5"/>
      <c r="S562" s="4"/>
      <c r="T562" s="3"/>
      <c r="U562" s="3"/>
      <c r="V562" s="3"/>
      <c r="W562" s="3"/>
      <c r="X562" s="3"/>
      <c r="Y562" s="3"/>
    </row>
    <row r="563" spans="1:25" s="2" customFormat="1" x14ac:dyDescent="0.2">
      <c r="A563" s="58"/>
      <c r="B563" s="7"/>
      <c r="C563" s="1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Q563" s="6"/>
      <c r="R563" s="5"/>
      <c r="S563" s="4"/>
      <c r="T563" s="3"/>
      <c r="U563" s="3"/>
      <c r="V563" s="3"/>
      <c r="W563" s="3"/>
      <c r="X563" s="3"/>
      <c r="Y563" s="3"/>
    </row>
    <row r="564" spans="1:25" s="2" customFormat="1" x14ac:dyDescent="0.2">
      <c r="A564" s="58"/>
      <c r="B564" s="7"/>
      <c r="C564" s="1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Q564" s="6"/>
      <c r="R564" s="5"/>
      <c r="S564" s="4"/>
      <c r="T564" s="3"/>
      <c r="U564" s="3"/>
      <c r="V564" s="3"/>
      <c r="W564" s="3"/>
      <c r="X564" s="3"/>
      <c r="Y564" s="3"/>
    </row>
    <row r="565" spans="1:25" s="2" customFormat="1" x14ac:dyDescent="0.2">
      <c r="A565" s="58"/>
      <c r="B565" s="7"/>
      <c r="C565" s="1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Q565" s="6"/>
      <c r="R565" s="5"/>
      <c r="S565" s="4"/>
      <c r="T565" s="3"/>
      <c r="U565" s="3"/>
      <c r="V565" s="3"/>
      <c r="W565" s="3"/>
      <c r="X565" s="3"/>
      <c r="Y565" s="3"/>
    </row>
    <row r="566" spans="1:25" s="2" customFormat="1" x14ac:dyDescent="0.2">
      <c r="A566" s="58"/>
      <c r="B566" s="7"/>
      <c r="C566" s="1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Q566" s="6"/>
      <c r="R566" s="5"/>
      <c r="S566" s="4"/>
      <c r="T566" s="3"/>
      <c r="U566" s="3"/>
      <c r="V566" s="3"/>
      <c r="W566" s="3"/>
      <c r="X566" s="3"/>
      <c r="Y566" s="3"/>
    </row>
    <row r="567" spans="1:25" s="2" customFormat="1" x14ac:dyDescent="0.2">
      <c r="A567" s="58"/>
      <c r="B567" s="7"/>
      <c r="C567" s="1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Q567" s="6"/>
      <c r="R567" s="5"/>
      <c r="S567" s="4"/>
      <c r="T567" s="3"/>
      <c r="U567" s="3"/>
      <c r="V567" s="3"/>
      <c r="W567" s="3"/>
      <c r="X567" s="3"/>
      <c r="Y567" s="3"/>
    </row>
    <row r="568" spans="1:25" s="2" customFormat="1" x14ac:dyDescent="0.2">
      <c r="A568" s="58"/>
      <c r="B568" s="7"/>
      <c r="C568" s="1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Q568" s="6"/>
      <c r="R568" s="5"/>
      <c r="S568" s="4"/>
      <c r="T568" s="3"/>
      <c r="U568" s="3"/>
      <c r="V568" s="3"/>
      <c r="W568" s="3"/>
      <c r="X568" s="3"/>
      <c r="Y568" s="3"/>
    </row>
    <row r="569" spans="1:25" s="2" customFormat="1" x14ac:dyDescent="0.2">
      <c r="A569" s="58"/>
      <c r="B569" s="7"/>
      <c r="C569" s="1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Q569" s="6"/>
      <c r="R569" s="5"/>
      <c r="S569" s="4"/>
      <c r="T569" s="3"/>
      <c r="U569" s="3"/>
      <c r="V569" s="3"/>
      <c r="W569" s="3"/>
      <c r="X569" s="3"/>
      <c r="Y569" s="3"/>
    </row>
    <row r="570" spans="1:25" s="2" customFormat="1" x14ac:dyDescent="0.2">
      <c r="A570" s="58"/>
      <c r="B570" s="7"/>
      <c r="C570" s="1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Q570" s="6"/>
      <c r="R570" s="5"/>
      <c r="S570" s="4"/>
      <c r="T570" s="3"/>
      <c r="U570" s="3"/>
      <c r="V570" s="3"/>
      <c r="W570" s="3"/>
      <c r="X570" s="3"/>
      <c r="Y570" s="3"/>
    </row>
    <row r="571" spans="1:25" s="2" customFormat="1" x14ac:dyDescent="0.2">
      <c r="A571" s="58"/>
      <c r="B571" s="7"/>
      <c r="C571" s="1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Q571" s="6"/>
      <c r="R571" s="5"/>
      <c r="S571" s="4"/>
      <c r="T571" s="3"/>
      <c r="U571" s="3"/>
      <c r="V571" s="3"/>
      <c r="W571" s="3"/>
      <c r="X571" s="3"/>
      <c r="Y571" s="3"/>
    </row>
    <row r="572" spans="1:25" s="2" customFormat="1" x14ac:dyDescent="0.2">
      <c r="A572" s="58"/>
      <c r="B572" s="7"/>
      <c r="C572" s="1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Q572" s="6"/>
      <c r="R572" s="5"/>
      <c r="S572" s="4"/>
      <c r="T572" s="3"/>
      <c r="U572" s="3"/>
      <c r="V572" s="3"/>
      <c r="W572" s="3"/>
      <c r="X572" s="3"/>
      <c r="Y572" s="3"/>
    </row>
    <row r="573" spans="1:25" s="2" customFormat="1" x14ac:dyDescent="0.2">
      <c r="A573" s="58"/>
      <c r="B573" s="7"/>
      <c r="C573" s="1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Q573" s="6"/>
      <c r="R573" s="5"/>
      <c r="S573" s="4"/>
      <c r="T573" s="3"/>
      <c r="U573" s="3"/>
      <c r="V573" s="3"/>
      <c r="W573" s="3"/>
      <c r="X573" s="3"/>
      <c r="Y573" s="3"/>
    </row>
    <row r="574" spans="1:25" s="2" customFormat="1" x14ac:dyDescent="0.2">
      <c r="A574" s="58"/>
      <c r="B574" s="7"/>
      <c r="C574" s="1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Q574" s="6"/>
      <c r="R574" s="5"/>
      <c r="S574" s="4"/>
      <c r="T574" s="3"/>
      <c r="U574" s="3"/>
      <c r="V574" s="3"/>
      <c r="W574" s="3"/>
      <c r="X574" s="3"/>
      <c r="Y574" s="3"/>
    </row>
    <row r="575" spans="1:25" s="2" customFormat="1" x14ac:dyDescent="0.2">
      <c r="A575" s="58"/>
      <c r="B575" s="7"/>
      <c r="C575" s="1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Q575" s="6"/>
      <c r="R575" s="5"/>
      <c r="S575" s="4"/>
      <c r="T575" s="3"/>
      <c r="U575" s="3"/>
      <c r="V575" s="3"/>
      <c r="W575" s="3"/>
      <c r="X575" s="3"/>
      <c r="Y575" s="3"/>
    </row>
    <row r="576" spans="1:25" s="2" customFormat="1" x14ac:dyDescent="0.2">
      <c r="A576" s="58"/>
      <c r="B576" s="7"/>
      <c r="C576" s="1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Q576" s="6"/>
      <c r="R576" s="5"/>
      <c r="S576" s="4"/>
      <c r="T576" s="3"/>
      <c r="U576" s="3"/>
      <c r="V576" s="3"/>
      <c r="W576" s="3"/>
      <c r="X576" s="3"/>
      <c r="Y576" s="3"/>
    </row>
    <row r="577" spans="1:25" s="2" customFormat="1" x14ac:dyDescent="0.2">
      <c r="A577" s="58"/>
      <c r="B577" s="7"/>
      <c r="C577" s="1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Q577" s="6"/>
      <c r="R577" s="5"/>
      <c r="S577" s="4"/>
      <c r="T577" s="3"/>
      <c r="U577" s="3"/>
      <c r="V577" s="3"/>
      <c r="W577" s="3"/>
      <c r="X577" s="3"/>
      <c r="Y577" s="3"/>
    </row>
    <row r="578" spans="1:25" s="2" customFormat="1" x14ac:dyDescent="0.2">
      <c r="A578" s="58"/>
      <c r="B578" s="7"/>
      <c r="C578" s="1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Q578" s="6"/>
      <c r="R578" s="5"/>
      <c r="S578" s="4"/>
      <c r="T578" s="3"/>
      <c r="U578" s="3"/>
      <c r="V578" s="3"/>
      <c r="W578" s="3"/>
      <c r="X578" s="3"/>
      <c r="Y578" s="3"/>
    </row>
    <row r="579" spans="1:25" s="2" customFormat="1" x14ac:dyDescent="0.2">
      <c r="A579" s="58"/>
      <c r="B579" s="7"/>
      <c r="C579" s="1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Q579" s="6"/>
      <c r="R579" s="5"/>
      <c r="S579" s="4"/>
      <c r="T579" s="3"/>
      <c r="U579" s="3"/>
      <c r="V579" s="3"/>
      <c r="W579" s="3"/>
      <c r="X579" s="3"/>
      <c r="Y579" s="3"/>
    </row>
    <row r="580" spans="1:25" s="2" customFormat="1" x14ac:dyDescent="0.2">
      <c r="A580" s="58"/>
      <c r="B580" s="7"/>
      <c r="C580" s="1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Q580" s="6"/>
      <c r="R580" s="5"/>
      <c r="S580" s="4"/>
      <c r="T580" s="3"/>
      <c r="U580" s="3"/>
      <c r="V580" s="3"/>
      <c r="W580" s="3"/>
      <c r="X580" s="3"/>
      <c r="Y580" s="3"/>
    </row>
    <row r="581" spans="1:25" s="2" customFormat="1" x14ac:dyDescent="0.2">
      <c r="A581" s="58"/>
      <c r="B581" s="7"/>
      <c r="C581" s="1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Q581" s="6"/>
      <c r="R581" s="5"/>
      <c r="S581" s="4"/>
      <c r="T581" s="3"/>
      <c r="U581" s="3"/>
      <c r="V581" s="3"/>
      <c r="W581" s="3"/>
      <c r="X581" s="3"/>
      <c r="Y581" s="3"/>
    </row>
    <row r="582" spans="1:25" s="2" customFormat="1" x14ac:dyDescent="0.2">
      <c r="A582" s="58"/>
      <c r="B582" s="7"/>
      <c r="C582" s="1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Q582" s="6"/>
      <c r="R582" s="5"/>
      <c r="S582" s="4"/>
      <c r="T582" s="3"/>
      <c r="U582" s="3"/>
      <c r="V582" s="3"/>
      <c r="W582" s="3"/>
      <c r="X582" s="3"/>
      <c r="Y582" s="3"/>
    </row>
    <row r="583" spans="1:25" s="2" customFormat="1" x14ac:dyDescent="0.2">
      <c r="A583" s="58"/>
      <c r="B583" s="7"/>
      <c r="C583" s="1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Q583" s="6"/>
      <c r="R583" s="5"/>
      <c r="S583" s="4"/>
      <c r="T583" s="3"/>
      <c r="U583" s="3"/>
      <c r="V583" s="3"/>
      <c r="W583" s="3"/>
      <c r="X583" s="3"/>
      <c r="Y583" s="3"/>
    </row>
    <row r="584" spans="1:25" s="2" customFormat="1" x14ac:dyDescent="0.2">
      <c r="A584" s="58"/>
      <c r="B584" s="7"/>
      <c r="C584" s="1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Q584" s="6"/>
      <c r="R584" s="5"/>
      <c r="S584" s="4"/>
      <c r="T584" s="3"/>
      <c r="U584" s="3"/>
      <c r="V584" s="3"/>
      <c r="W584" s="3"/>
      <c r="X584" s="3"/>
      <c r="Y584" s="3"/>
    </row>
    <row r="585" spans="1:25" s="2" customFormat="1" x14ac:dyDescent="0.2">
      <c r="A585" s="58"/>
      <c r="B585" s="7"/>
      <c r="C585" s="1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Q585" s="6"/>
      <c r="R585" s="5"/>
      <c r="S585" s="4"/>
      <c r="T585" s="3"/>
      <c r="U585" s="3"/>
      <c r="V585" s="3"/>
      <c r="W585" s="3"/>
      <c r="X585" s="3"/>
      <c r="Y585" s="3"/>
    </row>
    <row r="586" spans="1:25" s="2" customFormat="1" x14ac:dyDescent="0.2">
      <c r="A586" s="58"/>
      <c r="B586" s="7"/>
      <c r="C586" s="1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Q586" s="6"/>
      <c r="R586" s="5"/>
      <c r="S586" s="4"/>
      <c r="T586" s="3"/>
      <c r="U586" s="3"/>
      <c r="V586" s="3"/>
      <c r="W586" s="3"/>
      <c r="X586" s="3"/>
      <c r="Y586" s="3"/>
    </row>
    <row r="587" spans="1:25" s="2" customFormat="1" x14ac:dyDescent="0.2">
      <c r="A587" s="58"/>
      <c r="B587" s="7"/>
      <c r="C587" s="1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Q587" s="6"/>
      <c r="R587" s="5"/>
      <c r="S587" s="4"/>
      <c r="T587" s="3"/>
      <c r="U587" s="3"/>
      <c r="V587" s="3"/>
      <c r="W587" s="3"/>
      <c r="X587" s="3"/>
      <c r="Y587" s="3"/>
    </row>
    <row r="588" spans="1:25" s="2" customFormat="1" x14ac:dyDescent="0.2">
      <c r="A588" s="58"/>
      <c r="B588" s="7"/>
      <c r="C588" s="1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Q588" s="6"/>
      <c r="R588" s="5"/>
      <c r="S588" s="4"/>
      <c r="T588" s="3"/>
      <c r="U588" s="3"/>
      <c r="V588" s="3"/>
      <c r="W588" s="3"/>
      <c r="X588" s="3"/>
      <c r="Y588" s="3"/>
    </row>
    <row r="589" spans="1:25" s="2" customFormat="1" x14ac:dyDescent="0.2">
      <c r="A589" s="58"/>
      <c r="B589" s="7"/>
      <c r="C589" s="1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Q589" s="6"/>
      <c r="R589" s="5"/>
      <c r="S589" s="4"/>
      <c r="T589" s="3"/>
      <c r="U589" s="3"/>
      <c r="V589" s="3"/>
      <c r="W589" s="3"/>
      <c r="X589" s="3"/>
      <c r="Y589" s="3"/>
    </row>
    <row r="590" spans="1:25" s="2" customFormat="1" x14ac:dyDescent="0.2">
      <c r="A590" s="58"/>
      <c r="B590" s="7"/>
      <c r="C590" s="1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Q590" s="6"/>
      <c r="R590" s="5"/>
      <c r="S590" s="4"/>
      <c r="T590" s="3"/>
      <c r="U590" s="3"/>
      <c r="V590" s="3"/>
      <c r="W590" s="3"/>
      <c r="X590" s="3"/>
      <c r="Y590" s="3"/>
    </row>
    <row r="591" spans="1:25" s="2" customFormat="1" x14ac:dyDescent="0.2">
      <c r="A591" s="58"/>
      <c r="B591" s="7"/>
      <c r="C591" s="1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Q591" s="6"/>
      <c r="R591" s="5"/>
      <c r="S591" s="4"/>
      <c r="T591" s="3"/>
      <c r="U591" s="3"/>
      <c r="V591" s="3"/>
      <c r="W591" s="3"/>
      <c r="X591" s="3"/>
      <c r="Y591" s="3"/>
    </row>
    <row r="592" spans="1:25" s="2" customFormat="1" x14ac:dyDescent="0.2">
      <c r="A592" s="58"/>
      <c r="B592" s="7"/>
      <c r="C592" s="1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Q592" s="6"/>
      <c r="R592" s="5"/>
      <c r="S592" s="4"/>
      <c r="T592" s="3"/>
      <c r="U592" s="3"/>
      <c r="V592" s="3"/>
      <c r="W592" s="3"/>
      <c r="X592" s="3"/>
      <c r="Y592" s="3"/>
    </row>
    <row r="593" spans="1:25" s="2" customFormat="1" x14ac:dyDescent="0.2">
      <c r="A593" s="58"/>
      <c r="B593" s="7"/>
      <c r="C593" s="1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Q593" s="6"/>
      <c r="R593" s="5"/>
      <c r="S593" s="4"/>
      <c r="T593" s="3"/>
      <c r="U593" s="3"/>
      <c r="V593" s="3"/>
      <c r="W593" s="3"/>
      <c r="X593" s="3"/>
      <c r="Y593" s="3"/>
    </row>
    <row r="594" spans="1:25" s="2" customFormat="1" x14ac:dyDescent="0.2">
      <c r="A594" s="58"/>
      <c r="B594" s="7"/>
      <c r="C594" s="1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Q594" s="6"/>
      <c r="R594" s="5"/>
      <c r="S594" s="4"/>
      <c r="T594" s="3"/>
      <c r="U594" s="3"/>
      <c r="V594" s="3"/>
      <c r="W594" s="3"/>
      <c r="X594" s="3"/>
      <c r="Y594" s="3"/>
    </row>
    <row r="595" spans="1:25" s="2" customFormat="1" x14ac:dyDescent="0.2">
      <c r="A595" s="58"/>
      <c r="B595" s="7"/>
      <c r="C595" s="1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Q595" s="6"/>
      <c r="R595" s="5"/>
      <c r="S595" s="4"/>
      <c r="T595" s="3"/>
      <c r="U595" s="3"/>
      <c r="V595" s="3"/>
      <c r="W595" s="3"/>
      <c r="X595" s="3"/>
      <c r="Y595" s="3"/>
    </row>
    <row r="596" spans="1:25" s="2" customFormat="1" x14ac:dyDescent="0.2">
      <c r="A596" s="58"/>
      <c r="B596" s="7"/>
      <c r="C596" s="1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Q596" s="6"/>
      <c r="R596" s="5"/>
      <c r="S596" s="4"/>
      <c r="T596" s="3"/>
      <c r="U596" s="3"/>
      <c r="V596" s="3"/>
      <c r="W596" s="3"/>
      <c r="X596" s="3"/>
      <c r="Y596" s="3"/>
    </row>
    <row r="597" spans="1:25" s="2" customFormat="1" x14ac:dyDescent="0.2">
      <c r="A597" s="58"/>
      <c r="B597" s="7"/>
      <c r="C597" s="1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Q597" s="6"/>
      <c r="R597" s="5"/>
      <c r="S597" s="4"/>
      <c r="T597" s="3"/>
      <c r="U597" s="3"/>
      <c r="V597" s="3"/>
      <c r="W597" s="3"/>
      <c r="X597" s="3"/>
      <c r="Y597" s="3"/>
    </row>
    <row r="598" spans="1:25" s="2" customFormat="1" x14ac:dyDescent="0.2">
      <c r="A598" s="58"/>
      <c r="B598" s="7"/>
      <c r="C598" s="1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Q598" s="6"/>
      <c r="R598" s="5"/>
      <c r="S598" s="4"/>
      <c r="T598" s="3"/>
      <c r="U598" s="3"/>
      <c r="V598" s="3"/>
      <c r="W598" s="3"/>
      <c r="X598" s="3"/>
      <c r="Y598" s="3"/>
    </row>
    <row r="599" spans="1:25" s="2" customFormat="1" x14ac:dyDescent="0.2">
      <c r="A599" s="58"/>
      <c r="B599" s="7"/>
      <c r="C599" s="1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Q599" s="6"/>
      <c r="R599" s="5"/>
      <c r="S599" s="4"/>
      <c r="T599" s="3"/>
      <c r="U599" s="3"/>
      <c r="V599" s="3"/>
      <c r="W599" s="3"/>
      <c r="X599" s="3"/>
      <c r="Y599" s="3"/>
    </row>
    <row r="600" spans="1:25" s="2" customFormat="1" x14ac:dyDescent="0.2">
      <c r="A600" s="58"/>
      <c r="B600" s="7"/>
      <c r="C600" s="1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Q600" s="6"/>
      <c r="R600" s="5"/>
      <c r="S600" s="4"/>
      <c r="T600" s="3"/>
      <c r="U600" s="3"/>
      <c r="V600" s="3"/>
      <c r="W600" s="3"/>
      <c r="X600" s="3"/>
      <c r="Y600" s="3"/>
    </row>
    <row r="601" spans="1:25" s="2" customFormat="1" x14ac:dyDescent="0.2">
      <c r="A601" s="58"/>
      <c r="B601" s="7"/>
      <c r="C601" s="1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Q601" s="6"/>
      <c r="R601" s="5"/>
      <c r="S601" s="4"/>
      <c r="T601" s="3"/>
      <c r="U601" s="3"/>
      <c r="V601" s="3"/>
      <c r="W601" s="3"/>
      <c r="X601" s="3"/>
      <c r="Y601" s="3"/>
    </row>
    <row r="602" spans="1:25" s="2" customFormat="1" x14ac:dyDescent="0.2">
      <c r="A602" s="58"/>
      <c r="B602" s="7"/>
      <c r="C602" s="1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Q602" s="6"/>
      <c r="R602" s="5"/>
      <c r="S602" s="4"/>
      <c r="T602" s="3"/>
      <c r="U602" s="3"/>
      <c r="V602" s="3"/>
      <c r="W602" s="3"/>
      <c r="X602" s="3"/>
      <c r="Y602" s="3"/>
    </row>
    <row r="603" spans="1:25" s="2" customFormat="1" x14ac:dyDescent="0.2">
      <c r="A603" s="58"/>
      <c r="B603" s="7"/>
      <c r="C603" s="1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Q603" s="6"/>
      <c r="R603" s="5"/>
      <c r="S603" s="4"/>
      <c r="T603" s="3"/>
      <c r="U603" s="3"/>
      <c r="V603" s="3"/>
      <c r="W603" s="3"/>
      <c r="X603" s="3"/>
      <c r="Y603" s="3"/>
    </row>
    <row r="604" spans="1:25" s="2" customFormat="1" x14ac:dyDescent="0.2">
      <c r="A604" s="58"/>
      <c r="B604" s="7"/>
      <c r="C604" s="1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Q604" s="6"/>
      <c r="R604" s="5"/>
      <c r="S604" s="4"/>
      <c r="T604" s="3"/>
      <c r="U604" s="3"/>
      <c r="V604" s="3"/>
      <c r="W604" s="3"/>
      <c r="X604" s="3"/>
      <c r="Y604" s="3"/>
    </row>
    <row r="605" spans="1:25" s="2" customFormat="1" x14ac:dyDescent="0.2">
      <c r="A605" s="58"/>
      <c r="B605" s="7"/>
      <c r="C605" s="1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Q605" s="6"/>
      <c r="R605" s="5"/>
      <c r="S605" s="4"/>
      <c r="T605" s="3"/>
      <c r="U605" s="3"/>
      <c r="V605" s="3"/>
      <c r="W605" s="3"/>
      <c r="X605" s="3"/>
      <c r="Y605" s="3"/>
    </row>
    <row r="606" spans="1:25" s="2" customFormat="1" x14ac:dyDescent="0.2">
      <c r="A606" s="58"/>
      <c r="B606" s="7"/>
      <c r="C606" s="1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Q606" s="6"/>
      <c r="R606" s="5"/>
      <c r="S606" s="4"/>
      <c r="T606" s="3"/>
      <c r="U606" s="3"/>
      <c r="V606" s="3"/>
      <c r="W606" s="3"/>
      <c r="X606" s="3"/>
      <c r="Y606" s="3"/>
    </row>
    <row r="607" spans="1:25" s="2" customFormat="1" x14ac:dyDescent="0.2">
      <c r="A607" s="58"/>
      <c r="B607" s="7"/>
      <c r="C607" s="1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Q607" s="6"/>
      <c r="R607" s="5"/>
      <c r="S607" s="4"/>
      <c r="T607" s="3"/>
      <c r="U607" s="3"/>
      <c r="V607" s="3"/>
      <c r="W607" s="3"/>
      <c r="X607" s="3"/>
      <c r="Y607" s="3"/>
    </row>
    <row r="608" spans="1:25" s="2" customFormat="1" x14ac:dyDescent="0.2">
      <c r="A608" s="58"/>
      <c r="B608" s="7"/>
      <c r="C608" s="1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Q608" s="6"/>
      <c r="R608" s="5"/>
      <c r="S608" s="4"/>
      <c r="T608" s="3"/>
      <c r="U608" s="3"/>
      <c r="V608" s="3"/>
      <c r="W608" s="3"/>
      <c r="X608" s="3"/>
      <c r="Y608" s="3"/>
    </row>
    <row r="609" spans="1:25" s="2" customFormat="1" x14ac:dyDescent="0.2">
      <c r="A609" s="58"/>
      <c r="B609" s="7"/>
      <c r="C609" s="1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Q609" s="6"/>
      <c r="R609" s="5"/>
      <c r="S609" s="4"/>
      <c r="T609" s="3"/>
      <c r="U609" s="3"/>
      <c r="V609" s="3"/>
      <c r="W609" s="3"/>
      <c r="X609" s="3"/>
      <c r="Y609" s="3"/>
    </row>
    <row r="610" spans="1:25" s="2" customFormat="1" x14ac:dyDescent="0.2">
      <c r="A610" s="58"/>
      <c r="B610" s="7"/>
      <c r="C610" s="1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Q610" s="6"/>
      <c r="R610" s="5"/>
      <c r="S610" s="4"/>
      <c r="T610" s="3"/>
      <c r="U610" s="3"/>
      <c r="V610" s="3"/>
      <c r="W610" s="3"/>
      <c r="X610" s="3"/>
      <c r="Y610" s="3"/>
    </row>
    <row r="611" spans="1:25" s="2" customFormat="1" x14ac:dyDescent="0.2">
      <c r="A611" s="58"/>
      <c r="B611" s="7"/>
      <c r="C611" s="1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Q611" s="6"/>
      <c r="R611" s="5"/>
      <c r="S611" s="4"/>
      <c r="T611" s="3"/>
      <c r="U611" s="3"/>
      <c r="V611" s="3"/>
      <c r="W611" s="3"/>
      <c r="X611" s="3"/>
      <c r="Y611" s="3"/>
    </row>
    <row r="612" spans="1:25" s="2" customFormat="1" x14ac:dyDescent="0.2">
      <c r="A612" s="58"/>
      <c r="B612" s="7"/>
      <c r="C612" s="1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Q612" s="6"/>
      <c r="R612" s="5"/>
      <c r="S612" s="4"/>
      <c r="T612" s="3"/>
      <c r="U612" s="3"/>
      <c r="V612" s="3"/>
      <c r="W612" s="3"/>
      <c r="X612" s="3"/>
      <c r="Y612" s="3"/>
    </row>
    <row r="613" spans="1:25" s="2" customFormat="1" x14ac:dyDescent="0.2">
      <c r="A613" s="58"/>
      <c r="B613" s="7"/>
      <c r="C613" s="1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Q613" s="6"/>
      <c r="R613" s="5"/>
      <c r="S613" s="4"/>
      <c r="T613" s="3"/>
      <c r="U613" s="3"/>
      <c r="V613" s="3"/>
      <c r="W613" s="3"/>
      <c r="X613" s="3"/>
      <c r="Y613" s="3"/>
    </row>
    <row r="614" spans="1:25" s="2" customFormat="1" x14ac:dyDescent="0.2">
      <c r="A614" s="58"/>
      <c r="B614" s="7"/>
      <c r="C614" s="1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Q614" s="6"/>
      <c r="R614" s="5"/>
      <c r="S614" s="4"/>
      <c r="T614" s="3"/>
      <c r="U614" s="3"/>
      <c r="V614" s="3"/>
      <c r="W614" s="3"/>
      <c r="X614" s="3"/>
      <c r="Y614" s="3"/>
    </row>
    <row r="615" spans="1:25" s="2" customFormat="1" x14ac:dyDescent="0.2">
      <c r="A615" s="58"/>
      <c r="B615" s="7"/>
      <c r="C615" s="1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Q615" s="6"/>
      <c r="R615" s="5"/>
      <c r="S615" s="4"/>
      <c r="T615" s="3"/>
      <c r="U615" s="3"/>
      <c r="V615" s="3"/>
      <c r="W615" s="3"/>
      <c r="X615" s="3"/>
      <c r="Y615" s="3"/>
    </row>
    <row r="616" spans="1:25" s="2" customFormat="1" x14ac:dyDescent="0.2">
      <c r="A616" s="58"/>
      <c r="B616" s="7"/>
      <c r="C616" s="1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Q616" s="6"/>
      <c r="R616" s="5"/>
      <c r="S616" s="4"/>
      <c r="T616" s="3"/>
      <c r="U616" s="3"/>
      <c r="V616" s="3"/>
      <c r="W616" s="3"/>
      <c r="X616" s="3"/>
      <c r="Y616" s="3"/>
    </row>
    <row r="617" spans="1:25" s="2" customFormat="1" x14ac:dyDescent="0.2">
      <c r="A617" s="58"/>
      <c r="B617" s="7"/>
      <c r="C617" s="1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Q617" s="6"/>
      <c r="R617" s="5"/>
      <c r="S617" s="4"/>
      <c r="T617" s="3"/>
      <c r="U617" s="3"/>
      <c r="V617" s="3"/>
      <c r="W617" s="3"/>
      <c r="X617" s="3"/>
      <c r="Y617" s="3"/>
    </row>
    <row r="618" spans="1:25" s="2" customFormat="1" x14ac:dyDescent="0.2">
      <c r="A618" s="58"/>
      <c r="B618" s="7"/>
      <c r="C618" s="1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Q618" s="6"/>
      <c r="R618" s="5"/>
      <c r="S618" s="4"/>
      <c r="T618" s="3"/>
      <c r="U618" s="3"/>
      <c r="V618" s="3"/>
      <c r="W618" s="3"/>
      <c r="X618" s="3"/>
      <c r="Y618" s="3"/>
    </row>
    <row r="619" spans="1:25" s="2" customFormat="1" x14ac:dyDescent="0.2">
      <c r="A619" s="58"/>
      <c r="B619" s="7"/>
      <c r="C619" s="1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Q619" s="6"/>
      <c r="R619" s="5"/>
      <c r="S619" s="4"/>
      <c r="T619" s="3"/>
      <c r="U619" s="3"/>
      <c r="V619" s="3"/>
      <c r="W619" s="3"/>
      <c r="X619" s="3"/>
      <c r="Y619" s="3"/>
    </row>
    <row r="620" spans="1:25" s="2" customFormat="1" x14ac:dyDescent="0.2">
      <c r="A620" s="58"/>
      <c r="B620" s="7"/>
      <c r="C620" s="1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Q620" s="6"/>
      <c r="R620" s="5"/>
      <c r="S620" s="4"/>
      <c r="T620" s="3"/>
      <c r="U620" s="3"/>
      <c r="V620" s="3"/>
      <c r="W620" s="3"/>
      <c r="X620" s="3"/>
      <c r="Y620" s="3"/>
    </row>
    <row r="621" spans="1:25" s="2" customFormat="1" x14ac:dyDescent="0.2">
      <c r="A621" s="58"/>
      <c r="B621" s="7"/>
      <c r="C621" s="1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Q621" s="6"/>
      <c r="R621" s="5"/>
      <c r="S621" s="4"/>
      <c r="T621" s="3"/>
      <c r="U621" s="3"/>
      <c r="V621" s="3"/>
      <c r="W621" s="3"/>
      <c r="X621" s="3"/>
      <c r="Y621" s="3"/>
    </row>
    <row r="622" spans="1:25" s="2" customFormat="1" x14ac:dyDescent="0.2">
      <c r="A622" s="58"/>
      <c r="B622" s="7"/>
      <c r="C622" s="1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Q622" s="6"/>
      <c r="R622" s="5"/>
      <c r="S622" s="4"/>
      <c r="T622" s="3"/>
      <c r="U622" s="3"/>
      <c r="V622" s="3"/>
      <c r="W622" s="3"/>
      <c r="X622" s="3"/>
      <c r="Y622" s="3"/>
    </row>
    <row r="623" spans="1:25" s="2" customFormat="1" x14ac:dyDescent="0.2">
      <c r="A623" s="58"/>
      <c r="B623" s="7"/>
      <c r="C623" s="1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Q623" s="6"/>
      <c r="R623" s="5"/>
      <c r="S623" s="4"/>
      <c r="T623" s="3"/>
      <c r="U623" s="3"/>
      <c r="V623" s="3"/>
      <c r="W623" s="3"/>
      <c r="X623" s="3"/>
      <c r="Y623" s="3"/>
    </row>
    <row r="624" spans="1:25" s="2" customFormat="1" x14ac:dyDescent="0.2">
      <c r="A624" s="58"/>
      <c r="B624" s="7"/>
      <c r="C624" s="1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Q624" s="6"/>
      <c r="R624" s="5"/>
      <c r="S624" s="4"/>
      <c r="T624" s="3"/>
      <c r="U624" s="3"/>
      <c r="V624" s="3"/>
      <c r="W624" s="3"/>
      <c r="X624" s="3"/>
      <c r="Y624" s="3"/>
    </row>
    <row r="625" spans="1:25" s="2" customFormat="1" x14ac:dyDescent="0.2">
      <c r="A625" s="58"/>
      <c r="B625" s="7"/>
      <c r="C625" s="1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Q625" s="6"/>
      <c r="R625" s="5"/>
      <c r="S625" s="4"/>
      <c r="T625" s="3"/>
      <c r="U625" s="3"/>
      <c r="V625" s="3"/>
      <c r="W625" s="3"/>
      <c r="X625" s="3"/>
      <c r="Y625" s="3"/>
    </row>
    <row r="626" spans="1:25" s="2" customFormat="1" x14ac:dyDescent="0.2">
      <c r="A626" s="58"/>
      <c r="B626" s="7"/>
      <c r="C626" s="1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Q626" s="6"/>
      <c r="R626" s="5"/>
      <c r="S626" s="4"/>
      <c r="T626" s="3"/>
      <c r="U626" s="3"/>
      <c r="V626" s="3"/>
      <c r="W626" s="3"/>
      <c r="X626" s="3"/>
      <c r="Y626" s="3"/>
    </row>
    <row r="627" spans="1:25" s="2" customFormat="1" x14ac:dyDescent="0.2">
      <c r="A627" s="58"/>
      <c r="B627" s="7"/>
      <c r="C627" s="1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Q627" s="6"/>
      <c r="R627" s="5"/>
      <c r="S627" s="4"/>
      <c r="T627" s="3"/>
      <c r="U627" s="3"/>
      <c r="V627" s="3"/>
      <c r="W627" s="3"/>
      <c r="X627" s="3"/>
      <c r="Y627" s="3"/>
    </row>
    <row r="628" spans="1:25" s="2" customFormat="1" x14ac:dyDescent="0.2">
      <c r="A628" s="58"/>
      <c r="B628" s="7"/>
      <c r="C628" s="1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Q628" s="6"/>
      <c r="R628" s="5"/>
      <c r="S628" s="4"/>
      <c r="T628" s="3"/>
      <c r="U628" s="3"/>
      <c r="V628" s="3"/>
      <c r="W628" s="3"/>
      <c r="X628" s="3"/>
      <c r="Y628" s="3"/>
    </row>
    <row r="629" spans="1:25" s="2" customFormat="1" x14ac:dyDescent="0.2">
      <c r="A629" s="58"/>
      <c r="B629" s="7"/>
      <c r="C629" s="1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Q629" s="6"/>
      <c r="R629" s="5"/>
      <c r="S629" s="4"/>
      <c r="T629" s="3"/>
      <c r="U629" s="3"/>
      <c r="V629" s="3"/>
      <c r="W629" s="3"/>
      <c r="X629" s="3"/>
      <c r="Y629" s="3"/>
    </row>
    <row r="630" spans="1:25" s="2" customFormat="1" x14ac:dyDescent="0.2">
      <c r="A630" s="58"/>
      <c r="B630" s="7"/>
      <c r="C630" s="1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Q630" s="6"/>
      <c r="R630" s="5"/>
      <c r="S630" s="4"/>
      <c r="T630" s="3"/>
      <c r="U630" s="3"/>
      <c r="V630" s="3"/>
      <c r="W630" s="3"/>
      <c r="X630" s="3"/>
      <c r="Y630" s="3"/>
    </row>
    <row r="631" spans="1:25" s="2" customFormat="1" x14ac:dyDescent="0.2">
      <c r="A631" s="58"/>
      <c r="B631" s="7"/>
      <c r="C631" s="1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Q631" s="6"/>
      <c r="R631" s="5"/>
      <c r="S631" s="4"/>
      <c r="T631" s="3"/>
      <c r="U631" s="3"/>
      <c r="V631" s="3"/>
      <c r="W631" s="3"/>
      <c r="X631" s="3"/>
      <c r="Y631" s="3"/>
    </row>
    <row r="632" spans="1:25" s="2" customFormat="1" x14ac:dyDescent="0.2">
      <c r="A632" s="58"/>
      <c r="B632" s="7"/>
      <c r="C632" s="1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Q632" s="6"/>
      <c r="R632" s="5"/>
      <c r="S632" s="4"/>
      <c r="T632" s="3"/>
      <c r="U632" s="3"/>
      <c r="V632" s="3"/>
      <c r="W632" s="3"/>
      <c r="X632" s="3"/>
      <c r="Y632" s="3"/>
    </row>
    <row r="633" spans="1:25" s="2" customFormat="1" x14ac:dyDescent="0.2">
      <c r="A633" s="58"/>
      <c r="B633" s="7"/>
      <c r="C633" s="1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Q633" s="6"/>
      <c r="R633" s="5"/>
      <c r="S633" s="4"/>
      <c r="T633" s="3"/>
      <c r="U633" s="3"/>
      <c r="V633" s="3"/>
      <c r="W633" s="3"/>
      <c r="X633" s="3"/>
      <c r="Y633" s="3"/>
    </row>
    <row r="634" spans="1:25" s="2" customFormat="1" x14ac:dyDescent="0.2">
      <c r="A634" s="58"/>
      <c r="B634" s="7"/>
      <c r="C634" s="1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Q634" s="6"/>
      <c r="R634" s="5"/>
      <c r="S634" s="4"/>
      <c r="T634" s="3"/>
      <c r="U634" s="3"/>
      <c r="V634" s="3"/>
      <c r="W634" s="3"/>
      <c r="X634" s="3"/>
      <c r="Y634" s="3"/>
    </row>
    <row r="635" spans="1:25" s="2" customFormat="1" x14ac:dyDescent="0.2">
      <c r="A635" s="58"/>
      <c r="B635" s="7"/>
      <c r="C635" s="1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Q635" s="6"/>
      <c r="R635" s="5"/>
      <c r="S635" s="4"/>
      <c r="T635" s="3"/>
      <c r="U635" s="3"/>
      <c r="V635" s="3"/>
      <c r="W635" s="3"/>
      <c r="X635" s="3"/>
      <c r="Y635" s="3"/>
    </row>
    <row r="636" spans="1:25" s="2" customFormat="1" x14ac:dyDescent="0.2">
      <c r="A636" s="58"/>
      <c r="B636" s="7"/>
      <c r="C636" s="1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Q636" s="6"/>
      <c r="R636" s="5"/>
      <c r="S636" s="4"/>
      <c r="T636" s="3"/>
      <c r="U636" s="3"/>
      <c r="V636" s="3"/>
      <c r="W636" s="3"/>
      <c r="X636" s="3"/>
      <c r="Y636" s="3"/>
    </row>
    <row r="637" spans="1:25" s="2" customFormat="1" x14ac:dyDescent="0.2">
      <c r="A637" s="58"/>
      <c r="B637" s="7"/>
      <c r="C637" s="1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Q637" s="6"/>
      <c r="R637" s="5"/>
      <c r="S637" s="4"/>
      <c r="T637" s="3"/>
      <c r="U637" s="3"/>
      <c r="V637" s="3"/>
      <c r="W637" s="3"/>
      <c r="X637" s="3"/>
      <c r="Y637" s="3"/>
    </row>
    <row r="638" spans="1:25" s="2" customFormat="1" x14ac:dyDescent="0.2">
      <c r="A638" s="58"/>
      <c r="B638" s="7"/>
      <c r="C638" s="1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Q638" s="6"/>
      <c r="R638" s="5"/>
      <c r="S638" s="4"/>
      <c r="T638" s="3"/>
      <c r="U638" s="3"/>
      <c r="V638" s="3"/>
      <c r="W638" s="3"/>
      <c r="X638" s="3"/>
      <c r="Y638" s="3"/>
    </row>
    <row r="639" spans="1:25" s="2" customFormat="1" x14ac:dyDescent="0.2">
      <c r="A639" s="58"/>
      <c r="B639" s="7"/>
      <c r="C639" s="1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Q639" s="6"/>
      <c r="R639" s="5"/>
      <c r="S639" s="4"/>
      <c r="T639" s="3"/>
      <c r="U639" s="3"/>
      <c r="V639" s="3"/>
      <c r="W639" s="3"/>
      <c r="X639" s="3"/>
      <c r="Y639" s="3"/>
    </row>
    <row r="640" spans="1:25" s="2" customFormat="1" x14ac:dyDescent="0.2">
      <c r="A640" s="58"/>
      <c r="B640" s="7"/>
      <c r="C640" s="1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Q640" s="6"/>
      <c r="R640" s="5"/>
      <c r="S640" s="4"/>
      <c r="T640" s="3"/>
      <c r="U640" s="3"/>
      <c r="V640" s="3"/>
      <c r="W640" s="3"/>
      <c r="X640" s="3"/>
      <c r="Y640" s="3"/>
    </row>
    <row r="641" spans="1:25" s="2" customFormat="1" x14ac:dyDescent="0.2">
      <c r="A641" s="58"/>
      <c r="B641" s="7"/>
      <c r="C641" s="1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Q641" s="6"/>
      <c r="R641" s="5"/>
      <c r="S641" s="4"/>
      <c r="T641" s="3"/>
      <c r="U641" s="3"/>
      <c r="V641" s="3"/>
      <c r="W641" s="3"/>
      <c r="X641" s="3"/>
      <c r="Y641" s="3"/>
    </row>
    <row r="642" spans="1:25" s="2" customFormat="1" x14ac:dyDescent="0.2">
      <c r="A642" s="58"/>
      <c r="B642" s="7"/>
      <c r="C642" s="1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Q642" s="6"/>
      <c r="R642" s="5"/>
      <c r="S642" s="4"/>
      <c r="T642" s="3"/>
      <c r="U642" s="3"/>
      <c r="V642" s="3"/>
      <c r="W642" s="3"/>
      <c r="X642" s="3"/>
      <c r="Y642" s="3"/>
    </row>
    <row r="643" spans="1:25" s="2" customFormat="1" x14ac:dyDescent="0.2">
      <c r="A643" s="58"/>
      <c r="B643" s="7"/>
      <c r="C643" s="1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Q643" s="6"/>
      <c r="R643" s="5"/>
      <c r="S643" s="4"/>
      <c r="T643" s="3"/>
      <c r="U643" s="3"/>
      <c r="V643" s="3"/>
      <c r="W643" s="3"/>
      <c r="X643" s="3"/>
      <c r="Y643" s="3"/>
    </row>
    <row r="644" spans="1:25" s="2" customFormat="1" x14ac:dyDescent="0.2">
      <c r="A644" s="58"/>
      <c r="B644" s="7"/>
      <c r="C644" s="1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Q644" s="6"/>
      <c r="R644" s="5"/>
      <c r="S644" s="4"/>
      <c r="T644" s="3"/>
      <c r="U644" s="3"/>
      <c r="V644" s="3"/>
      <c r="W644" s="3"/>
      <c r="X644" s="3"/>
      <c r="Y644" s="3"/>
    </row>
    <row r="645" spans="1:25" s="2" customFormat="1" x14ac:dyDescent="0.2">
      <c r="A645" s="58"/>
      <c r="B645" s="7"/>
      <c r="C645" s="1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Q645" s="6"/>
      <c r="R645" s="5"/>
      <c r="S645" s="4"/>
      <c r="T645" s="3"/>
      <c r="U645" s="3"/>
      <c r="V645" s="3"/>
      <c r="W645" s="3"/>
      <c r="X645" s="3"/>
      <c r="Y645" s="3"/>
    </row>
    <row r="646" spans="1:25" s="2" customFormat="1" x14ac:dyDescent="0.2">
      <c r="A646" s="58"/>
      <c r="B646" s="7"/>
      <c r="C646" s="1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Q646" s="6"/>
      <c r="R646" s="5"/>
      <c r="S646" s="4"/>
      <c r="T646" s="3"/>
      <c r="U646" s="3"/>
      <c r="V646" s="3"/>
      <c r="W646" s="3"/>
      <c r="X646" s="3"/>
      <c r="Y646" s="3"/>
    </row>
    <row r="647" spans="1:25" s="2" customFormat="1" x14ac:dyDescent="0.2">
      <c r="A647" s="58"/>
      <c r="B647" s="7"/>
      <c r="C647" s="1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Q647" s="6"/>
      <c r="R647" s="5"/>
      <c r="S647" s="4"/>
      <c r="T647" s="3"/>
      <c r="U647" s="3"/>
      <c r="V647" s="3"/>
      <c r="W647" s="3"/>
      <c r="X647" s="3"/>
      <c r="Y647" s="3"/>
    </row>
    <row r="648" spans="1:25" s="2" customFormat="1" x14ac:dyDescent="0.2">
      <c r="A648" s="58"/>
      <c r="B648" s="7"/>
      <c r="C648" s="1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Q648" s="6"/>
      <c r="R648" s="5"/>
      <c r="S648" s="4"/>
      <c r="T648" s="3"/>
      <c r="U648" s="3"/>
      <c r="V648" s="3"/>
      <c r="W648" s="3"/>
      <c r="X648" s="3"/>
      <c r="Y648" s="3"/>
    </row>
    <row r="649" spans="1:25" s="2" customFormat="1" x14ac:dyDescent="0.2">
      <c r="A649" s="58"/>
      <c r="B649" s="7"/>
      <c r="C649" s="1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Q649" s="6"/>
      <c r="R649" s="5"/>
      <c r="S649" s="4"/>
      <c r="T649" s="3"/>
      <c r="U649" s="3"/>
      <c r="V649" s="3"/>
      <c r="W649" s="3"/>
      <c r="X649" s="3"/>
      <c r="Y649" s="3"/>
    </row>
    <row r="650" spans="1:25" s="2" customFormat="1" x14ac:dyDescent="0.2">
      <c r="A650" s="58"/>
      <c r="B650" s="7"/>
      <c r="C650" s="1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Q650" s="6"/>
      <c r="R650" s="5"/>
      <c r="S650" s="4"/>
      <c r="T650" s="3"/>
      <c r="U650" s="3"/>
      <c r="V650" s="3"/>
      <c r="W650" s="3"/>
      <c r="X650" s="3"/>
      <c r="Y650" s="3"/>
    </row>
    <row r="651" spans="1:25" s="2" customFormat="1" x14ac:dyDescent="0.2">
      <c r="A651" s="58"/>
      <c r="B651" s="7"/>
      <c r="C651" s="1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Q651" s="6"/>
      <c r="R651" s="5"/>
      <c r="S651" s="4"/>
      <c r="T651" s="3"/>
      <c r="U651" s="3"/>
      <c r="V651" s="3"/>
      <c r="W651" s="3"/>
      <c r="X651" s="3"/>
      <c r="Y651" s="3"/>
    </row>
    <row r="652" spans="1:25" s="2" customFormat="1" x14ac:dyDescent="0.2">
      <c r="A652" s="58"/>
      <c r="B652" s="7"/>
      <c r="C652" s="1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Q652" s="6"/>
      <c r="R652" s="5"/>
      <c r="S652" s="4"/>
      <c r="T652" s="3"/>
      <c r="U652" s="3"/>
      <c r="V652" s="3"/>
      <c r="W652" s="3"/>
      <c r="X652" s="3"/>
      <c r="Y652" s="3"/>
    </row>
    <row r="653" spans="1:25" s="2" customFormat="1" x14ac:dyDescent="0.2">
      <c r="A653" s="58"/>
      <c r="B653" s="7"/>
      <c r="C653" s="1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Q653" s="6"/>
      <c r="R653" s="5"/>
      <c r="S653" s="4"/>
      <c r="T653" s="3"/>
      <c r="U653" s="3"/>
      <c r="V653" s="3"/>
      <c r="W653" s="3"/>
      <c r="X653" s="3"/>
      <c r="Y653" s="3"/>
    </row>
    <row r="654" spans="1:25" s="2" customFormat="1" x14ac:dyDescent="0.2">
      <c r="A654" s="58"/>
      <c r="B654" s="7"/>
      <c r="C654" s="1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Q654" s="6"/>
      <c r="R654" s="5"/>
      <c r="S654" s="4"/>
      <c r="T654" s="3"/>
      <c r="U654" s="3"/>
      <c r="V654" s="3"/>
      <c r="W654" s="3"/>
      <c r="X654" s="3"/>
      <c r="Y654" s="3"/>
    </row>
    <row r="655" spans="1:25" s="2" customFormat="1" x14ac:dyDescent="0.2">
      <c r="A655" s="58"/>
      <c r="B655" s="7"/>
      <c r="C655" s="1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Q655" s="6"/>
      <c r="R655" s="5"/>
      <c r="S655" s="4"/>
      <c r="T655" s="3"/>
      <c r="U655" s="3"/>
      <c r="V655" s="3"/>
      <c r="W655" s="3"/>
      <c r="X655" s="3"/>
      <c r="Y655" s="3"/>
    </row>
    <row r="656" spans="1:25" s="2" customFormat="1" x14ac:dyDescent="0.2">
      <c r="A656" s="58"/>
      <c r="B656" s="7"/>
      <c r="C656" s="1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Q656" s="6"/>
      <c r="R656" s="5"/>
      <c r="S656" s="4"/>
      <c r="T656" s="3"/>
      <c r="U656" s="3"/>
      <c r="V656" s="3"/>
      <c r="W656" s="3"/>
      <c r="X656" s="3"/>
      <c r="Y656" s="3"/>
    </row>
    <row r="657" spans="1:25" s="2" customFormat="1" x14ac:dyDescent="0.2">
      <c r="A657" s="58"/>
      <c r="B657" s="7"/>
      <c r="C657" s="1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Q657" s="6"/>
      <c r="R657" s="5"/>
      <c r="S657" s="4"/>
      <c r="T657" s="3"/>
      <c r="U657" s="3"/>
      <c r="V657" s="3"/>
      <c r="W657" s="3"/>
      <c r="X657" s="3"/>
      <c r="Y657" s="3"/>
    </row>
    <row r="658" spans="1:25" s="2" customFormat="1" x14ac:dyDescent="0.2">
      <c r="A658" s="58"/>
      <c r="B658" s="7"/>
      <c r="C658" s="1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Q658" s="6"/>
      <c r="R658" s="5"/>
      <c r="S658" s="4"/>
      <c r="T658" s="3"/>
      <c r="U658" s="3"/>
      <c r="V658" s="3"/>
      <c r="W658" s="3"/>
      <c r="X658" s="3"/>
      <c r="Y658" s="3"/>
    </row>
    <row r="659" spans="1:25" s="2" customFormat="1" x14ac:dyDescent="0.2">
      <c r="A659" s="58"/>
      <c r="B659" s="7"/>
      <c r="C659" s="1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Q659" s="6"/>
      <c r="R659" s="5"/>
      <c r="S659" s="4"/>
      <c r="T659" s="3"/>
      <c r="U659" s="3"/>
      <c r="V659" s="3"/>
      <c r="W659" s="3"/>
      <c r="X659" s="3"/>
      <c r="Y659" s="3"/>
    </row>
    <row r="660" spans="1:25" s="2" customFormat="1" x14ac:dyDescent="0.2">
      <c r="A660" s="58"/>
      <c r="B660" s="7"/>
      <c r="C660" s="1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Q660" s="6"/>
      <c r="R660" s="5"/>
      <c r="S660" s="4"/>
      <c r="T660" s="3"/>
      <c r="U660" s="3"/>
      <c r="V660" s="3"/>
      <c r="W660" s="3"/>
      <c r="X660" s="3"/>
      <c r="Y660" s="3"/>
    </row>
    <row r="661" spans="1:25" s="2" customFormat="1" x14ac:dyDescent="0.2">
      <c r="A661" s="58"/>
      <c r="B661" s="7"/>
      <c r="C661" s="1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Q661" s="6"/>
      <c r="R661" s="5"/>
      <c r="S661" s="4"/>
      <c r="T661" s="3"/>
      <c r="U661" s="3"/>
      <c r="V661" s="3"/>
      <c r="W661" s="3"/>
      <c r="X661" s="3"/>
      <c r="Y661" s="3"/>
    </row>
  </sheetData>
  <protectedRanges>
    <protectedRange password="CFFB" sqref="B3" name="Rango1_1"/>
  </protectedRanges>
  <mergeCells count="21">
    <mergeCell ref="C1:C2"/>
    <mergeCell ref="E1:E2"/>
    <mergeCell ref="F1:F2"/>
    <mergeCell ref="G1:G2"/>
    <mergeCell ref="F43:F44"/>
    <mergeCell ref="G43:G44"/>
    <mergeCell ref="E43:E44"/>
    <mergeCell ref="K43:K44"/>
    <mergeCell ref="L43:L44"/>
    <mergeCell ref="M1:M2"/>
    <mergeCell ref="K1:K2"/>
    <mergeCell ref="L1:L2"/>
    <mergeCell ref="M43:M44"/>
    <mergeCell ref="B4:B6"/>
    <mergeCell ref="G5:G6"/>
    <mergeCell ref="F5:F6"/>
    <mergeCell ref="E5:E6"/>
    <mergeCell ref="C4:C6"/>
    <mergeCell ref="M5:M6"/>
    <mergeCell ref="L5:L6"/>
    <mergeCell ref="K5:K6"/>
  </mergeCells>
  <conditionalFormatting sqref="C3">
    <cfRule type="expression" dxfId="1" priority="1" stopIfTrue="1">
      <formula>$C$3</formula>
    </cfRule>
    <cfRule type="expression" dxfId="0" priority="2" stopIfTrue="1">
      <formula>$C$3</formula>
    </cfRule>
  </conditionalFormatting>
  <printOptions horizontalCentered="1"/>
  <pageMargins left="0" right="0" top="0" bottom="0" header="0.31496062992125984" footer="0.31496062992125984"/>
  <pageSetup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ANUAL</vt:lpstr>
      <vt:lpstr>'CONCENTRADO ANUAL'!Área_de_impresión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Eder Carmona Armijo</dc:creator>
  <cp:lastModifiedBy>Eder Carmona Armijo</cp:lastModifiedBy>
  <dcterms:created xsi:type="dcterms:W3CDTF">2016-12-08T18:54:52Z</dcterms:created>
  <dcterms:modified xsi:type="dcterms:W3CDTF">2016-12-08T18:59:56Z</dcterms:modified>
</cp:coreProperties>
</file>